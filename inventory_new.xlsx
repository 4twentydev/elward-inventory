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C:\Users\4twen\Dropbox\ESC\"/>
    </mc:Choice>
  </mc:AlternateContent>
  <xr:revisionPtr revIDLastSave="0" documentId="8_{F25683CA-0DBB-A54D-86BB-531A0D47C04E}" xr6:coauthVersionLast="47" xr6:coauthVersionMax="47" xr10:uidLastSave="{00000000-0000-0000-0000-000000000000}"/>
  <bookViews>
    <workbookView xWindow="-120" yWindow="-120" windowWidth="29040" windowHeight="15720" tabRatio="723" xr2:uid="{18942514-CE8D-4341-B3A7-6548EDBA5D46}"/>
  </bookViews>
  <sheets>
    <sheet name="DRY-EXT" sheetId="8" r:id="rId1"/>
    <sheet name="WET-EXT" sheetId="9" r:id="rId2"/>
    <sheet name="PER-EXT" sheetId="10" r:id="rId3"/>
    <sheet name="C4-EXT" sheetId="11" r:id="rId4"/>
    <sheet name="OTHER-EXT" sheetId="12" r:id="rId5"/>
    <sheet name="ACM" sheetId="2" r:id="rId6"/>
    <sheet name="SWISSPEARL-TRESPA" sheetId="4" r:id="rId7"/>
    <sheet name="TRESPA-SHTS" sheetId="13" state="hidden" r:id="rId8"/>
    <sheet name="RIVETS" sheetId="5" r:id="rId9"/>
    <sheet name="OTHER" sheetId="7" r:id="rId10"/>
  </sheets>
  <definedNames>
    <definedName name="Z_747F537D_AE5A_42D1_81B5_51FBA5D2020E_.wvu.Cols" localSheetId="5" hidden="1">ACM!$F:$XFD</definedName>
    <definedName name="Z_747F537D_AE5A_42D1_81B5_51FBA5D2020E_.wvu.Cols" localSheetId="6" hidden="1">'SWISSPEARL-TRESPA'!$G:$XFD</definedName>
  </definedNames>
  <calcPr calcId="191028"/>
  <customWorkbookViews>
    <customWorkbookView name="extrusion_inventory" guid="{747F537D-AE5A-42D1-81B5-51FBA5D2020E}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0" l="1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95" i="12"/>
  <c r="AC94" i="12"/>
  <c r="AC93" i="12"/>
  <c r="AC92" i="12"/>
  <c r="AC91" i="12"/>
  <c r="AC90" i="12"/>
  <c r="AC89" i="12"/>
  <c r="AC88" i="12"/>
  <c r="AC87" i="12"/>
  <c r="AC86" i="12"/>
  <c r="AC85" i="12"/>
  <c r="AC84" i="12"/>
  <c r="AC83" i="12"/>
  <c r="AC82" i="12"/>
  <c r="AC81" i="12"/>
  <c r="AC80" i="12"/>
  <c r="AC79" i="12"/>
  <c r="AC78" i="12"/>
  <c r="AC77" i="12"/>
  <c r="AC76" i="12"/>
  <c r="AC75" i="12"/>
  <c r="AC74" i="12"/>
  <c r="AC73" i="12"/>
  <c r="AC72" i="12"/>
  <c r="AC71" i="12"/>
  <c r="AC70" i="12"/>
  <c r="AC69" i="12"/>
  <c r="AC68" i="12"/>
  <c r="AC67" i="12"/>
  <c r="AC66" i="12"/>
  <c r="AC65" i="12"/>
  <c r="AC64" i="12"/>
  <c r="AC63" i="12"/>
  <c r="AC62" i="12"/>
  <c r="AC61" i="12"/>
  <c r="AC60" i="12"/>
  <c r="AC59" i="12"/>
  <c r="AC58" i="12"/>
  <c r="AC57" i="12"/>
  <c r="AC56" i="12"/>
  <c r="AC55" i="12"/>
  <c r="AC54" i="12"/>
  <c r="AC53" i="12"/>
  <c r="AC52" i="12"/>
  <c r="AC51" i="12"/>
  <c r="AC50" i="12"/>
  <c r="AC49" i="12"/>
  <c r="AC48" i="12"/>
  <c r="AC47" i="12"/>
  <c r="AC46" i="12"/>
  <c r="AC45" i="12"/>
  <c r="AC44" i="12"/>
  <c r="AC43" i="12"/>
  <c r="AC42" i="12"/>
  <c r="AC41" i="12"/>
  <c r="AC40" i="12"/>
  <c r="AC39" i="12"/>
  <c r="AC38" i="12"/>
  <c r="AC37" i="12"/>
  <c r="AC36" i="12"/>
  <c r="AC35" i="12"/>
  <c r="AC34" i="12"/>
  <c r="AC33" i="12"/>
  <c r="AC32" i="12"/>
  <c r="AC31" i="12"/>
  <c r="AC30" i="12"/>
  <c r="AC29" i="12"/>
  <c r="AC28" i="12"/>
  <c r="AC27" i="12"/>
  <c r="AC26" i="12"/>
  <c r="AC25" i="12"/>
  <c r="AC24" i="12"/>
  <c r="AC23" i="12"/>
  <c r="AC22" i="12"/>
  <c r="AC19" i="12"/>
  <c r="AC18" i="12"/>
  <c r="AC17" i="12"/>
  <c r="AC16" i="12"/>
  <c r="AC15" i="12"/>
  <c r="AC14" i="12"/>
  <c r="AC12" i="12"/>
  <c r="AC11" i="12"/>
  <c r="AC10" i="12"/>
  <c r="AC9" i="12"/>
  <c r="AC8" i="12"/>
  <c r="AC7" i="12"/>
  <c r="AC6" i="12"/>
  <c r="AC5" i="12"/>
  <c r="AC4" i="12"/>
  <c r="AC3" i="12"/>
  <c r="AC26" i="11"/>
  <c r="AC19" i="11"/>
  <c r="AC18" i="11"/>
  <c r="AC17" i="11"/>
  <c r="AC16" i="11"/>
  <c r="AC13" i="11"/>
  <c r="AC12" i="11"/>
  <c r="AC11" i="11"/>
  <c r="AC10" i="11"/>
  <c r="AC9" i="11"/>
  <c r="AC6" i="11"/>
  <c r="AC5" i="11"/>
  <c r="AC4" i="11"/>
  <c r="AC12" i="9"/>
  <c r="AC11" i="9"/>
  <c r="AC10" i="9"/>
  <c r="AC9" i="9"/>
  <c r="AC8" i="9"/>
  <c r="AC7" i="9"/>
  <c r="AC6" i="9"/>
  <c r="AC5" i="9"/>
  <c r="AC4" i="9"/>
  <c r="AC3" i="9"/>
  <c r="AC3" i="10"/>
  <c r="AC3" i="8"/>
</calcChain>
</file>

<file path=xl/sharedStrings.xml><?xml version="1.0" encoding="utf-8"?>
<sst xmlns="http://schemas.openxmlformats.org/spreadsheetml/2006/main" count="1513" uniqueCount="879">
  <si>
    <t>Ground</t>
  </si>
  <si>
    <t>Lot</t>
  </si>
  <si>
    <t>Receiving</t>
  </si>
  <si>
    <t>Shipping</t>
  </si>
  <si>
    <t>TOTAL</t>
  </si>
  <si>
    <t>EXP TOTAL</t>
  </si>
  <si>
    <t>RDZ</t>
  </si>
  <si>
    <t>RDTR</t>
  </si>
  <si>
    <t>RDCJC</t>
  </si>
  <si>
    <t>RDFEC</t>
  </si>
  <si>
    <t>RDFEE</t>
  </si>
  <si>
    <t>RDFEA</t>
  </si>
  <si>
    <t>RDFEB</t>
  </si>
  <si>
    <t>RDOBQ</t>
  </si>
  <si>
    <t>RDGT</t>
  </si>
  <si>
    <t>RDJQ</t>
  </si>
  <si>
    <t>RDTRC</t>
  </si>
  <si>
    <t>RDTQ2</t>
  </si>
  <si>
    <t>RDA</t>
  </si>
  <si>
    <t>RDS</t>
  </si>
  <si>
    <t>RDBP</t>
  </si>
  <si>
    <t>RDHF</t>
  </si>
  <si>
    <t>RDTQ</t>
  </si>
  <si>
    <t>RDTW</t>
  </si>
  <si>
    <t>RDPP</t>
  </si>
  <si>
    <t>RDTA</t>
  </si>
  <si>
    <t>RDHH</t>
  </si>
  <si>
    <t>PERJSHA</t>
  </si>
  <si>
    <t>PERJS</t>
  </si>
  <si>
    <t>PERSHA</t>
  </si>
  <si>
    <t>PERCJF</t>
  </si>
  <si>
    <t>PERJ</t>
  </si>
  <si>
    <t>PERXB</t>
  </si>
  <si>
    <t>PERXT</t>
  </si>
  <si>
    <t>PERTF</t>
  </si>
  <si>
    <t>PERSP</t>
  </si>
  <si>
    <t>PERCJ</t>
  </si>
  <si>
    <t>PERTFE</t>
  </si>
  <si>
    <t>PERHF2</t>
  </si>
  <si>
    <t>PERVFE</t>
  </si>
  <si>
    <t>PERJF</t>
  </si>
  <si>
    <t>RRWR</t>
  </si>
  <si>
    <t>RRWL</t>
  </si>
  <si>
    <t>RRWRRA2</t>
  </si>
  <si>
    <t>RRWB</t>
  </si>
  <si>
    <t>RRWZ</t>
  </si>
  <si>
    <t>RRWLD</t>
  </si>
  <si>
    <t>RRWRD</t>
  </si>
  <si>
    <t>RRWCB</t>
  </si>
  <si>
    <t>RRWCA</t>
  </si>
  <si>
    <t>RRWZD</t>
  </si>
  <si>
    <t>110-001 168</t>
  </si>
  <si>
    <t>110-001 169</t>
  </si>
  <si>
    <t>110-002 170</t>
  </si>
  <si>
    <t>TRJHVY 173</t>
  </si>
  <si>
    <t>TRJLT 174</t>
  </si>
  <si>
    <t>TRHAT 175</t>
  </si>
  <si>
    <t>TRRAIL 176</t>
  </si>
  <si>
    <t>210-001 215</t>
  </si>
  <si>
    <t>TRMAT 285</t>
  </si>
  <si>
    <t>SRSJWT</t>
  </si>
  <si>
    <t>SRSC4</t>
  </si>
  <si>
    <t>SRSJ</t>
  </si>
  <si>
    <t>SRSCJ</t>
  </si>
  <si>
    <t>SRSJTC</t>
  </si>
  <si>
    <t>SRSZ</t>
  </si>
  <si>
    <t>SRST4</t>
  </si>
  <si>
    <t>SRSASC</t>
  </si>
  <si>
    <t>SRSJWC</t>
  </si>
  <si>
    <t>SRSSPS</t>
  </si>
  <si>
    <t>SRSDLC</t>
  </si>
  <si>
    <t>SRSJTT</t>
  </si>
  <si>
    <t>SRSLZ</t>
  </si>
  <si>
    <t>SRSC6</t>
  </si>
  <si>
    <t>SRSCJX</t>
  </si>
  <si>
    <t>SRSDLT</t>
  </si>
  <si>
    <t>SRSFEC</t>
  </si>
  <si>
    <t>SRSJF</t>
  </si>
  <si>
    <t>SRSTLC</t>
  </si>
  <si>
    <t>SRSBLC</t>
  </si>
  <si>
    <t>SRSDLV</t>
  </si>
  <si>
    <t>SRSFET</t>
  </si>
  <si>
    <t>SRSJSC</t>
  </si>
  <si>
    <t>SRSCJC</t>
  </si>
  <si>
    <t>SPLHAT</t>
  </si>
  <si>
    <t>SPLZEE</t>
  </si>
  <si>
    <t>SPLMAT</t>
  </si>
  <si>
    <t>SPLJ</t>
  </si>
  <si>
    <t>SPLCLP8</t>
  </si>
  <si>
    <t>SPLCLP12</t>
  </si>
  <si>
    <t>SPECRAIL</t>
  </si>
  <si>
    <t>SPFISC8</t>
  </si>
  <si>
    <t>SPFISC12</t>
  </si>
  <si>
    <t>SPLWHAT</t>
  </si>
  <si>
    <t>PLTH</t>
  </si>
  <si>
    <t>PLOB</t>
  </si>
  <si>
    <t>PLL</t>
  </si>
  <si>
    <t>PLR</t>
  </si>
  <si>
    <t>PLTF</t>
  </si>
  <si>
    <t>PLTPH</t>
  </si>
  <si>
    <t>PLCJ</t>
  </si>
  <si>
    <t>PLIC</t>
  </si>
  <si>
    <t>PLBK</t>
  </si>
  <si>
    <t>PL316ADP</t>
  </si>
  <si>
    <t>PL316CLP</t>
  </si>
  <si>
    <t>BVRR</t>
  </si>
  <si>
    <t>BVRBC</t>
  </si>
  <si>
    <t>BVRJ</t>
  </si>
  <si>
    <t>BVRT</t>
  </si>
  <si>
    <t>BVROB</t>
  </si>
  <si>
    <t>83T-102 229</t>
  </si>
  <si>
    <t>83T-105 PS 235</t>
  </si>
  <si>
    <t>83T-14A PA4 231</t>
  </si>
  <si>
    <t>83T-230 PAS 230</t>
  </si>
  <si>
    <t>83T-435 PA11 249</t>
  </si>
  <si>
    <t>83T-15A 250</t>
  </si>
  <si>
    <t>83T-19A 251</t>
  </si>
  <si>
    <t>83T-02C 253</t>
  </si>
  <si>
    <t>83T-103 254</t>
  </si>
  <si>
    <t>83T-13A 258</t>
  </si>
  <si>
    <t>83T-230 259</t>
  </si>
  <si>
    <t>83T-18A 260</t>
  </si>
  <si>
    <t>83T-11A 261</t>
  </si>
  <si>
    <t>S</t>
  </si>
  <si>
    <t>HA</t>
  </si>
  <si>
    <t>SH</t>
  </si>
  <si>
    <t>Z</t>
  </si>
  <si>
    <t>TM</t>
  </si>
  <si>
    <t>SWB</t>
  </si>
  <si>
    <t>SWT</t>
  </si>
  <si>
    <t>FTM-ACM</t>
  </si>
  <si>
    <t>FINB</t>
  </si>
  <si>
    <t>FINCJ</t>
  </si>
  <si>
    <t>FINZ</t>
  </si>
  <si>
    <t>FIN150 292</t>
  </si>
  <si>
    <t>PARTITION</t>
  </si>
  <si>
    <t>THOR</t>
  </si>
  <si>
    <t>TRECC</t>
  </si>
  <si>
    <t>GEGU</t>
  </si>
  <si>
    <t>GEST</t>
  </si>
  <si>
    <t>FT</t>
  </si>
  <si>
    <t>SG4</t>
  </si>
  <si>
    <t>SGR</t>
  </si>
  <si>
    <t>SGL</t>
  </si>
  <si>
    <t>SGTOB</t>
  </si>
  <si>
    <t>ZEE</t>
  </si>
  <si>
    <t>WSUP</t>
  </si>
  <si>
    <t>DCS</t>
  </si>
  <si>
    <t>DCP</t>
  </si>
  <si>
    <t>CS1</t>
  </si>
  <si>
    <t>CS2</t>
  </si>
  <si>
    <t>CS3</t>
  </si>
  <si>
    <t>BHA</t>
  </si>
  <si>
    <t>LVR</t>
  </si>
  <si>
    <t>T26</t>
  </si>
  <si>
    <t>SWC</t>
  </si>
  <si>
    <t>IC90-CLIP</t>
  </si>
  <si>
    <t>CPLOB</t>
  </si>
  <si>
    <t>CPLT2</t>
  </si>
  <si>
    <t>CPLTPFP</t>
  </si>
  <si>
    <t>EXTRCLP</t>
  </si>
  <si>
    <t>SC4</t>
  </si>
  <si>
    <t>PP1</t>
  </si>
  <si>
    <t>RS903</t>
  </si>
  <si>
    <t>RS901</t>
  </si>
  <si>
    <t>RS902</t>
  </si>
  <si>
    <t>TUBE</t>
  </si>
  <si>
    <t>pallet tag</t>
  </si>
  <si>
    <t>color</t>
  </si>
  <si>
    <t>quantity</t>
  </si>
  <si>
    <t>23023-6</t>
  </si>
  <si>
    <t>Sunstorm Copper</t>
  </si>
  <si>
    <t>23023-7</t>
  </si>
  <si>
    <t>23023-8</t>
  </si>
  <si>
    <t>23012-79</t>
  </si>
  <si>
    <t>SLCIA Light Copper</t>
  </si>
  <si>
    <t>23013-42</t>
  </si>
  <si>
    <t>Scarlett Red</t>
  </si>
  <si>
    <t>24024-2</t>
  </si>
  <si>
    <t>Blue Stone Charcoal Mask</t>
  </si>
  <si>
    <t>24028-2</t>
  </si>
  <si>
    <t>Champagne Metallic Mask</t>
  </si>
  <si>
    <t>23028-1</t>
  </si>
  <si>
    <t>Dusty Charcoal</t>
  </si>
  <si>
    <t>23030-4</t>
  </si>
  <si>
    <t>Statuary Bronze</t>
  </si>
  <si>
    <t>JLR Champagne Metallic</t>
  </si>
  <si>
    <t>Drop</t>
  </si>
  <si>
    <t xml:space="preserve">24028-33 </t>
  </si>
  <si>
    <t xml:space="preserve">Champagne Metallic </t>
  </si>
  <si>
    <t>22012-29</t>
  </si>
  <si>
    <t>Bone White</t>
  </si>
  <si>
    <t>22035-1</t>
  </si>
  <si>
    <t>Greyhound</t>
  </si>
  <si>
    <t>24028-3</t>
  </si>
  <si>
    <t>24010-5</t>
  </si>
  <si>
    <t>23023-11</t>
  </si>
  <si>
    <t xml:space="preserve">24022-5 </t>
  </si>
  <si>
    <t>Russet Mica</t>
  </si>
  <si>
    <t>AAP Silversmith</t>
  </si>
  <si>
    <t>24023-3</t>
  </si>
  <si>
    <t>White Shore</t>
  </si>
  <si>
    <t>23023-10</t>
  </si>
  <si>
    <t>23023-9</t>
  </si>
  <si>
    <t xml:space="preserve">24010-7 </t>
  </si>
  <si>
    <t>23026-2</t>
  </si>
  <si>
    <t>Silver Metallic</t>
  </si>
  <si>
    <t>24024-10</t>
  </si>
  <si>
    <t>24024-4</t>
  </si>
  <si>
    <t>24028-4</t>
  </si>
  <si>
    <t>24025-1</t>
  </si>
  <si>
    <t>Pure White</t>
  </si>
  <si>
    <t>24015-1</t>
  </si>
  <si>
    <t>Award Blue</t>
  </si>
  <si>
    <t>23025-?</t>
  </si>
  <si>
    <t>24024-26</t>
  </si>
  <si>
    <t>Bone White Mask</t>
  </si>
  <si>
    <t>24024-27</t>
  </si>
  <si>
    <t>24024-17</t>
  </si>
  <si>
    <t>24024-22</t>
  </si>
  <si>
    <t>24024-11</t>
  </si>
  <si>
    <t>24024-25</t>
  </si>
  <si>
    <t>24003-10</t>
  </si>
  <si>
    <t>Sapphire Blue</t>
  </si>
  <si>
    <t>24024-29</t>
  </si>
  <si>
    <t xml:space="preserve">Tender Oak </t>
  </si>
  <si>
    <t>24024-30</t>
  </si>
  <si>
    <t>24024-28</t>
  </si>
  <si>
    <t>24010-12</t>
  </si>
  <si>
    <t>Sanger Blue</t>
  </si>
  <si>
    <t>25011-1</t>
  </si>
  <si>
    <t>Clear Anodized</t>
  </si>
  <si>
    <t>24021-6</t>
  </si>
  <si>
    <t>24021-14</t>
  </si>
  <si>
    <t>24021-17</t>
  </si>
  <si>
    <t>24021-15</t>
  </si>
  <si>
    <t>25006-14</t>
  </si>
  <si>
    <t>Tri-Corn Black</t>
  </si>
  <si>
    <t>22049-4</t>
  </si>
  <si>
    <t>Anodic Satin</t>
  </si>
  <si>
    <t>23023--</t>
  </si>
  <si>
    <t>Slate Grey</t>
  </si>
  <si>
    <t>24015-2</t>
  </si>
  <si>
    <t>24028-1</t>
  </si>
  <si>
    <t>23023-3</t>
  </si>
  <si>
    <t>23023-4</t>
  </si>
  <si>
    <t>23035-2</t>
  </si>
  <si>
    <t>22035-3</t>
  </si>
  <si>
    <t>22035-4</t>
  </si>
  <si>
    <t>No Tag</t>
  </si>
  <si>
    <t>23012-55</t>
  </si>
  <si>
    <t>SLCIA Champagne Bronze Metallic</t>
  </si>
  <si>
    <t>24028-13</t>
  </si>
  <si>
    <t>24028-19</t>
  </si>
  <si>
    <t>24028-14</t>
  </si>
  <si>
    <t>24028-17</t>
  </si>
  <si>
    <t>24022-4</t>
  </si>
  <si>
    <t>24021-20</t>
  </si>
  <si>
    <t>24021-19</t>
  </si>
  <si>
    <t>24021-13</t>
  </si>
  <si>
    <t>24021-5</t>
  </si>
  <si>
    <t>24021-7</t>
  </si>
  <si>
    <t>23023-1</t>
  </si>
  <si>
    <t>24028-31</t>
  </si>
  <si>
    <t>24024-3</t>
  </si>
  <si>
    <t>24021-12</t>
  </si>
  <si>
    <t>24021-22</t>
  </si>
  <si>
    <t>24006-8</t>
  </si>
  <si>
    <t>25011-2</t>
  </si>
  <si>
    <t>24024-21</t>
  </si>
  <si>
    <t>24024-15</t>
  </si>
  <si>
    <t>23034-1</t>
  </si>
  <si>
    <t>Platnum Mica</t>
  </si>
  <si>
    <t>24024-9</t>
  </si>
  <si>
    <t>23030-5</t>
  </si>
  <si>
    <t>Statuary Brozne</t>
  </si>
  <si>
    <t>24010-1</t>
  </si>
  <si>
    <t>24010-3</t>
  </si>
  <si>
    <t>24028-34</t>
  </si>
  <si>
    <t>24028-35</t>
  </si>
  <si>
    <t>24010-2</t>
  </si>
  <si>
    <t>21010-13</t>
  </si>
  <si>
    <t xml:space="preserve">Bright Silver Metallic </t>
  </si>
  <si>
    <t>24027-3</t>
  </si>
  <si>
    <t>Aciero Carten</t>
  </si>
  <si>
    <t>25011-3</t>
  </si>
  <si>
    <t>24028-30</t>
  </si>
  <si>
    <t>24021-25</t>
  </si>
  <si>
    <t>Red fire</t>
  </si>
  <si>
    <t>24021-28</t>
  </si>
  <si>
    <t>24021-29</t>
  </si>
  <si>
    <t>24021-30</t>
  </si>
  <si>
    <t>24021-26</t>
  </si>
  <si>
    <t>24016-11</t>
  </si>
  <si>
    <t>Anodic Clear</t>
  </si>
  <si>
    <t>24003-3</t>
  </si>
  <si>
    <t>Union Charcoal</t>
  </si>
  <si>
    <t xml:space="preserve">24007-2 </t>
  </si>
  <si>
    <t>Mica Grey</t>
  </si>
  <si>
    <t>24024-1</t>
  </si>
  <si>
    <t>24024-8</t>
  </si>
  <si>
    <t>Dragon Stone Bronze Mask</t>
  </si>
  <si>
    <t>24022-3</t>
  </si>
  <si>
    <t>Russet Mica/ Random</t>
  </si>
  <si>
    <t xml:space="preserve">22035-8 </t>
  </si>
  <si>
    <t>Oyster</t>
  </si>
  <si>
    <t>24023-2</t>
  </si>
  <si>
    <t>White Shore PVDF3</t>
  </si>
  <si>
    <t xml:space="preserve">23007-1 </t>
  </si>
  <si>
    <t>Epernay Champagne Metallic PVDF3</t>
  </si>
  <si>
    <t>20030-72</t>
  </si>
  <si>
    <t>Light Copper Metallic</t>
  </si>
  <si>
    <t>24027-2</t>
  </si>
  <si>
    <t>Silversmith</t>
  </si>
  <si>
    <t xml:space="preserve">24019-8 </t>
  </si>
  <si>
    <t>21047-12</t>
  </si>
  <si>
    <t>Misc</t>
  </si>
  <si>
    <t>Misc Drop (No Pallet Tag)</t>
  </si>
  <si>
    <t>?</t>
  </si>
  <si>
    <t>23016-2</t>
  </si>
  <si>
    <t>Titanium</t>
  </si>
  <si>
    <t xml:space="preserve">24010-13 </t>
  </si>
  <si>
    <t xml:space="preserve">23026-2 </t>
  </si>
  <si>
    <t>24021-24</t>
  </si>
  <si>
    <t>22035-15</t>
  </si>
  <si>
    <t>23012-64</t>
  </si>
  <si>
    <t>SLCIA Dark Copper Metallic</t>
  </si>
  <si>
    <t>23023-5</t>
  </si>
  <si>
    <t>23023-12</t>
  </si>
  <si>
    <t>24006-2</t>
  </si>
  <si>
    <t>PImage Blue Mask</t>
  </si>
  <si>
    <t>22035-10</t>
  </si>
  <si>
    <t>22035-9</t>
  </si>
  <si>
    <t>24028-20</t>
  </si>
  <si>
    <t>24028-7</t>
  </si>
  <si>
    <t>24028-5</t>
  </si>
  <si>
    <t>24028-25</t>
  </si>
  <si>
    <t>23016-5</t>
  </si>
  <si>
    <t>Tuscan Sun</t>
  </si>
  <si>
    <t>24028-28</t>
  </si>
  <si>
    <t>24028-26</t>
  </si>
  <si>
    <t>24028-12</t>
  </si>
  <si>
    <t>23012-54</t>
  </si>
  <si>
    <t>SLCIA Bronze Metallic</t>
  </si>
  <si>
    <t xml:space="preserve">22022-2 </t>
  </si>
  <si>
    <t>Sunrise Silver</t>
  </si>
  <si>
    <t>23012-53</t>
  </si>
  <si>
    <t>SLCIA Champagne Broze Metallic</t>
  </si>
  <si>
    <t>25004-5</t>
  </si>
  <si>
    <t>Neon Red / Random</t>
  </si>
  <si>
    <t>No Tag Number</t>
  </si>
  <si>
    <t>Bunny Grey</t>
  </si>
  <si>
    <t>24024-16</t>
  </si>
  <si>
    <t>24024-23</t>
  </si>
  <si>
    <t>24010-10</t>
  </si>
  <si>
    <t>24024-24</t>
  </si>
  <si>
    <t>24024-14</t>
  </si>
  <si>
    <t>24024-20</t>
  </si>
  <si>
    <t>24024-12</t>
  </si>
  <si>
    <t>24024-13</t>
  </si>
  <si>
    <t>24010-18</t>
  </si>
  <si>
    <t>(Written Tag) Sanger Ed. Com. Bldg</t>
  </si>
  <si>
    <t>24010-15</t>
  </si>
  <si>
    <t>24010-6</t>
  </si>
  <si>
    <t xml:space="preserve">No Tag </t>
  </si>
  <si>
    <t xml:space="preserve">Blue </t>
  </si>
  <si>
    <t>23016-8</t>
  </si>
  <si>
    <t>Brite Green</t>
  </si>
  <si>
    <t>24010-9</t>
  </si>
  <si>
    <t>23016-3</t>
  </si>
  <si>
    <t>24010-8</t>
  </si>
  <si>
    <t>23012-78</t>
  </si>
  <si>
    <t>23009-7</t>
  </si>
  <si>
    <t>25025-4</t>
  </si>
  <si>
    <t>Mill Bronze</t>
  </si>
  <si>
    <t>25025-3</t>
  </si>
  <si>
    <t>25025-1</t>
  </si>
  <si>
    <t>25025-2</t>
  </si>
  <si>
    <t xml:space="preserve">23025-4 </t>
  </si>
  <si>
    <t>Brite Red</t>
  </si>
  <si>
    <t>22030-20</t>
  </si>
  <si>
    <t>Cadet Grey</t>
  </si>
  <si>
    <t>22010-6</t>
  </si>
  <si>
    <t>Magica Charm</t>
  </si>
  <si>
    <t>Factory Sealed</t>
  </si>
  <si>
    <t>24027-1</t>
  </si>
  <si>
    <t>Silver Smith</t>
  </si>
  <si>
    <t>25015-1</t>
  </si>
  <si>
    <t>Red Fire</t>
  </si>
  <si>
    <t xml:space="preserve">25021-2 </t>
  </si>
  <si>
    <t>Beach Stone Gray Metallic</t>
  </si>
  <si>
    <t>23009-?</t>
  </si>
  <si>
    <t>Champagne Metallic</t>
  </si>
  <si>
    <t>25021-1</t>
  </si>
  <si>
    <t xml:space="preserve">24003-1 </t>
  </si>
  <si>
    <t>23012-56</t>
  </si>
  <si>
    <t xml:space="preserve">24028-18 </t>
  </si>
  <si>
    <t>23012- 57</t>
  </si>
  <si>
    <t>24028-22</t>
  </si>
  <si>
    <t>24021-27</t>
  </si>
  <si>
    <t>22005-2</t>
  </si>
  <si>
    <t>Dark Copper Metallic</t>
  </si>
  <si>
    <t>24021-8</t>
  </si>
  <si>
    <t>24021-9</t>
  </si>
  <si>
    <t>24021-21</t>
  </si>
  <si>
    <t>24021-11</t>
  </si>
  <si>
    <t>24021-1</t>
  </si>
  <si>
    <t>24021-10</t>
  </si>
  <si>
    <t>24028-27</t>
  </si>
  <si>
    <t>24028-23</t>
  </si>
  <si>
    <t>24021-16</t>
  </si>
  <si>
    <t>24021-18</t>
  </si>
  <si>
    <t>24021-4</t>
  </si>
  <si>
    <t>24021-2</t>
  </si>
  <si>
    <t>22038-39</t>
  </si>
  <si>
    <t>White Stone</t>
  </si>
  <si>
    <t>Ivory Crystal Gloss</t>
  </si>
  <si>
    <t>Swisspearl-Trespa</t>
  </si>
  <si>
    <t>tent</t>
  </si>
  <si>
    <t>size</t>
  </si>
  <si>
    <t>23018-3</t>
  </si>
  <si>
    <t>50x99</t>
  </si>
  <si>
    <t>Vintago - VI 001</t>
  </si>
  <si>
    <t>22032-7</t>
  </si>
  <si>
    <t>Nobilis Granite 622</t>
  </si>
  <si>
    <t>20003-2</t>
  </si>
  <si>
    <t>48x96</t>
  </si>
  <si>
    <t>REFLEX Dark Silver 9222</t>
  </si>
  <si>
    <t>22032-22</t>
  </si>
  <si>
    <t>23029-6</t>
  </si>
  <si>
    <t>22006-9</t>
  </si>
  <si>
    <t>Zenor 69055</t>
  </si>
  <si>
    <t>20048-43</t>
  </si>
  <si>
    <t>Carat R-Color: Onyx 7091</t>
  </si>
  <si>
    <t>21038-28</t>
  </si>
  <si>
    <t>Nobilis: Jade 522</t>
  </si>
  <si>
    <t>22034-15</t>
  </si>
  <si>
    <t>21044-7</t>
  </si>
  <si>
    <t>50x98</t>
  </si>
  <si>
    <t>AVERA: AV 020</t>
  </si>
  <si>
    <t>21037-5</t>
  </si>
  <si>
    <t>CARAT R-COLOR: Topaz 7070 R</t>
  </si>
  <si>
    <t>24005-2</t>
  </si>
  <si>
    <t>Reflex: Crystal 4111</t>
  </si>
  <si>
    <t>22047-6</t>
  </si>
  <si>
    <t>Nobilis: Natura Gobit 118-22 As1</t>
  </si>
  <si>
    <t>22026-6</t>
  </si>
  <si>
    <t>NOBILIS: Jade 521</t>
  </si>
  <si>
    <t>23029-5</t>
  </si>
  <si>
    <t>21016-4</t>
  </si>
  <si>
    <t>CARAT HR: Onyx 7099</t>
  </si>
  <si>
    <t>22026-4</t>
  </si>
  <si>
    <t>50x120</t>
  </si>
  <si>
    <t>20048-42</t>
  </si>
  <si>
    <t>48-96</t>
  </si>
  <si>
    <t>CARAT R-COLOR: Onyx 7091</t>
  </si>
  <si>
    <t>25007-1</t>
  </si>
  <si>
    <t>50-99</t>
  </si>
  <si>
    <t>Planea HR: Sw6594-Ref.Nr. 96-25</t>
  </si>
  <si>
    <t>22017-9</t>
  </si>
  <si>
    <t>CARAT: Sahara 7002</t>
  </si>
  <si>
    <t>Largo Carat</t>
  </si>
  <si>
    <t>22029-9</t>
  </si>
  <si>
    <t>Nobilis Amber 723</t>
  </si>
  <si>
    <t>25007-2</t>
  </si>
  <si>
    <t>20048-41</t>
  </si>
  <si>
    <t>20038-4</t>
  </si>
  <si>
    <t>CARAT HR: Sapphire 7060</t>
  </si>
  <si>
    <t>23017-9</t>
  </si>
  <si>
    <t>Patina 222</t>
  </si>
  <si>
    <t>22026-22</t>
  </si>
  <si>
    <t>NOBILIS: Jade 522</t>
  </si>
  <si>
    <t>24005-7</t>
  </si>
  <si>
    <t>Reflex: Crystal ?</t>
  </si>
  <si>
    <t>25401-1</t>
  </si>
  <si>
    <t>Carat Ivory 8099</t>
  </si>
  <si>
    <t>24005-4</t>
  </si>
  <si>
    <t>Nobilis: Crystal 124</t>
  </si>
  <si>
    <t>23015-24</t>
  </si>
  <si>
    <t>49x120</t>
  </si>
  <si>
    <t>Patina Original 222</t>
  </si>
  <si>
    <t>23033-44</t>
  </si>
  <si>
    <t>Patina Original P545</t>
  </si>
  <si>
    <t>22034-16</t>
  </si>
  <si>
    <t>LARGO: Gravial Anthracite 3020</t>
  </si>
  <si>
    <t>23019-9</t>
  </si>
  <si>
    <t>CARAT: Onyx 7091</t>
  </si>
  <si>
    <t>22002-6</t>
  </si>
  <si>
    <t>48x120</t>
  </si>
  <si>
    <t>CARAT F-COLOR: Sahara 7001</t>
  </si>
  <si>
    <t>23031-8</t>
  </si>
  <si>
    <t>Patina Original P070 NXT</t>
  </si>
  <si>
    <t>22017-6</t>
  </si>
  <si>
    <t>23407-1</t>
  </si>
  <si>
    <t>22030-9</t>
  </si>
  <si>
    <t>LARGO: Planea Solarit P3 5981</t>
  </si>
  <si>
    <t>20048-97</t>
  </si>
  <si>
    <t>21036-9</t>
  </si>
  <si>
    <t>22032-40</t>
  </si>
  <si>
    <t>22034-13</t>
  </si>
  <si>
    <t>Nobilis: Anthracite 221</t>
  </si>
  <si>
    <t>21037-6</t>
  </si>
  <si>
    <t>VINTAGO: Crystal 7317</t>
  </si>
  <si>
    <t>20048-99</t>
  </si>
  <si>
    <t>22042-1</t>
  </si>
  <si>
    <t>22037-2</t>
  </si>
  <si>
    <t>22048-45</t>
  </si>
  <si>
    <t>22047-1</t>
  </si>
  <si>
    <t>22037-6</t>
  </si>
  <si>
    <t>23031-3</t>
  </si>
  <si>
    <t>Patina Original P070</t>
  </si>
  <si>
    <t>Carat Crystak 8010</t>
  </si>
  <si>
    <t>23031-2</t>
  </si>
  <si>
    <t>46x120</t>
  </si>
  <si>
    <t>Patina Inline P070</t>
  </si>
  <si>
    <t>22032-42</t>
  </si>
  <si>
    <t>Carat Ivory 7090</t>
  </si>
  <si>
    <t>24031-8</t>
  </si>
  <si>
    <t>Gravial Crystal 125</t>
  </si>
  <si>
    <t>22047-8</t>
  </si>
  <si>
    <t>22032-19</t>
  </si>
  <si>
    <t>Nobilis Granite 624</t>
  </si>
  <si>
    <t>21024-7</t>
  </si>
  <si>
    <t>W240 Mat</t>
  </si>
  <si>
    <t>21053-6</t>
  </si>
  <si>
    <t>CARAT R-COLOR: Topaz 7070</t>
  </si>
  <si>
    <t>21038-27</t>
  </si>
  <si>
    <t>96x120 ??</t>
  </si>
  <si>
    <t>CARAT HR: Onyx 7099 HR</t>
  </si>
  <si>
    <t>21037-33</t>
  </si>
  <si>
    <t>22026-8</t>
  </si>
  <si>
    <t>21037-31</t>
  </si>
  <si>
    <t>VINTAGO: VI 091</t>
  </si>
  <si>
    <t>22026-10</t>
  </si>
  <si>
    <t>24019-3</t>
  </si>
  <si>
    <t>Carat Coral 7032</t>
  </si>
  <si>
    <t>24019-4</t>
  </si>
  <si>
    <t>24005-5</t>
  </si>
  <si>
    <t>21028-11</t>
  </si>
  <si>
    <t>Nobilis 624 Hr W/ Ars0 Backside</t>
  </si>
  <si>
    <t>21037-21</t>
  </si>
  <si>
    <t>22051-2</t>
  </si>
  <si>
    <t>Zenor 11006</t>
  </si>
  <si>
    <t>20048-96</t>
  </si>
  <si>
    <t>Onyx 12091</t>
  </si>
  <si>
    <t>25019-2</t>
  </si>
  <si>
    <t>24031-7</t>
  </si>
  <si>
    <t>24031-6</t>
  </si>
  <si>
    <t>25019-1</t>
  </si>
  <si>
    <t>24031-10</t>
  </si>
  <si>
    <t>24031-11</t>
  </si>
  <si>
    <t>25019-3</t>
  </si>
  <si>
    <t>23017-33</t>
  </si>
  <si>
    <t>22032-23</t>
  </si>
  <si>
    <t>22037-10</t>
  </si>
  <si>
    <t>22037-7</t>
  </si>
  <si>
    <t>23032-3</t>
  </si>
  <si>
    <t>Zenor: 65126</t>
  </si>
  <si>
    <t>23017-21</t>
  </si>
  <si>
    <t>24031-17</t>
  </si>
  <si>
    <t>New</t>
  </si>
  <si>
    <t>24013-2</t>
  </si>
  <si>
    <t>Carat Coral 8033</t>
  </si>
  <si>
    <t>50x121</t>
  </si>
  <si>
    <t>Carat Coral 8034</t>
  </si>
  <si>
    <t>50x122</t>
  </si>
  <si>
    <t>Carat Coral 8035</t>
  </si>
  <si>
    <t>50x123</t>
  </si>
  <si>
    <t>Carat Coral 8036</t>
  </si>
  <si>
    <t>50x124</t>
  </si>
  <si>
    <t>Carat Coral 8037</t>
  </si>
  <si>
    <t>50x125</t>
  </si>
  <si>
    <t>Carat Coral 8038</t>
  </si>
  <si>
    <t>50x126</t>
  </si>
  <si>
    <t>Carat Coral 8039</t>
  </si>
  <si>
    <t>50x127</t>
  </si>
  <si>
    <t>Carat Coral 8040</t>
  </si>
  <si>
    <t>50x128</t>
  </si>
  <si>
    <t>Carat Coral 8041</t>
  </si>
  <si>
    <t>50x129</t>
  </si>
  <si>
    <t>Carat Coral 8042</t>
  </si>
  <si>
    <t>50x130</t>
  </si>
  <si>
    <t>Carat Coral 8043</t>
  </si>
  <si>
    <t>50x131</t>
  </si>
  <si>
    <t>Carat Coral 8044</t>
  </si>
  <si>
    <t>50x132</t>
  </si>
  <si>
    <t>Carat Coral 8045</t>
  </si>
  <si>
    <t>50x133</t>
  </si>
  <si>
    <t>Carat Coral 8046</t>
  </si>
  <si>
    <t>50x134</t>
  </si>
  <si>
    <t>Carat Coral 8047</t>
  </si>
  <si>
    <t>50x135</t>
  </si>
  <si>
    <t>Carat Coral 8048</t>
  </si>
  <si>
    <t>50x136</t>
  </si>
  <si>
    <t>Carat Coral 8049</t>
  </si>
  <si>
    <t>50x137</t>
  </si>
  <si>
    <t>Carat Coral 8050</t>
  </si>
  <si>
    <t>50x138</t>
  </si>
  <si>
    <t>Carat Coral 8051</t>
  </si>
  <si>
    <t>50x139</t>
  </si>
  <si>
    <t>Carat Coral 8052</t>
  </si>
  <si>
    <t>50x140</t>
  </si>
  <si>
    <t>Carat Coral 8053</t>
  </si>
  <si>
    <t>50x141</t>
  </si>
  <si>
    <t>Carat Coral 8054</t>
  </si>
  <si>
    <t>50x142</t>
  </si>
  <si>
    <t>Carat Coral 8055</t>
  </si>
  <si>
    <t>50x143</t>
  </si>
  <si>
    <t>Carat Coral 8056</t>
  </si>
  <si>
    <t>50x144</t>
  </si>
  <si>
    <t>Carat Coral 8057</t>
  </si>
  <si>
    <t>50x145</t>
  </si>
  <si>
    <t>Carat Coral 8058</t>
  </si>
  <si>
    <t>50x146</t>
  </si>
  <si>
    <t>Carat Coral 8059</t>
  </si>
  <si>
    <t>50x147</t>
  </si>
  <si>
    <t>Carat Coral 8060</t>
  </si>
  <si>
    <t>50x148</t>
  </si>
  <si>
    <t>Carat Coral 8061</t>
  </si>
  <si>
    <t>50x149</t>
  </si>
  <si>
    <t>Carat Coral 8062</t>
  </si>
  <si>
    <t>50x151</t>
  </si>
  <si>
    <t>Carat Coral 8064</t>
  </si>
  <si>
    <t>50x152</t>
  </si>
  <si>
    <t>Carat Coral 8065</t>
  </si>
  <si>
    <t>50x153</t>
  </si>
  <si>
    <t>Carat Coral 8066</t>
  </si>
  <si>
    <t>50x154</t>
  </si>
  <si>
    <t>Carat Coral 8067</t>
  </si>
  <si>
    <t>50x155</t>
  </si>
  <si>
    <t>Carat Coral 8068</t>
  </si>
  <si>
    <t>50x156</t>
  </si>
  <si>
    <t>Carat Coral 8069</t>
  </si>
  <si>
    <t>50x157</t>
  </si>
  <si>
    <t>Carat Coral 8070</t>
  </si>
  <si>
    <t>50x158</t>
  </si>
  <si>
    <t>Carat Coral 8071</t>
  </si>
  <si>
    <t>50x159</t>
  </si>
  <si>
    <t>Carat Coral 8072</t>
  </si>
  <si>
    <t>50x160</t>
  </si>
  <si>
    <t>Carat Coral 8073</t>
  </si>
  <si>
    <t>50x162</t>
  </si>
  <si>
    <t>Carat Coral 8075</t>
  </si>
  <si>
    <t>50x163</t>
  </si>
  <si>
    <t>Carat Coral 8076</t>
  </si>
  <si>
    <t>50x164</t>
  </si>
  <si>
    <t>Carat Coral 8077</t>
  </si>
  <si>
    <t>50x165</t>
  </si>
  <si>
    <t>Carat Coral 8078</t>
  </si>
  <si>
    <t>50x166</t>
  </si>
  <si>
    <t>Carat Coral 8079</t>
  </si>
  <si>
    <t>50x167</t>
  </si>
  <si>
    <t>Carat Coral 8080</t>
  </si>
  <si>
    <t>50x169</t>
  </si>
  <si>
    <t>Carat Coral 8082</t>
  </si>
  <si>
    <t>50x170</t>
  </si>
  <si>
    <t>Carat Coral 8083</t>
  </si>
  <si>
    <t>50x171</t>
  </si>
  <si>
    <t>Carat Coral 8084</t>
  </si>
  <si>
    <t>50x172</t>
  </si>
  <si>
    <t>Carat Coral 8085</t>
  </si>
  <si>
    <t>50x173</t>
  </si>
  <si>
    <t>Carat Coral 8086</t>
  </si>
  <si>
    <t>50x174</t>
  </si>
  <si>
    <t>Carat Coral 8087</t>
  </si>
  <si>
    <t>50x175</t>
  </si>
  <si>
    <t>Carat Coral 8088</t>
  </si>
  <si>
    <t>50x176</t>
  </si>
  <si>
    <t>Carat Coral 8089</t>
  </si>
  <si>
    <t>50x177</t>
  </si>
  <si>
    <t>Carat Coral 8090</t>
  </si>
  <si>
    <t>50x178</t>
  </si>
  <si>
    <t>Carat Coral 8091</t>
  </si>
  <si>
    <t>50x179</t>
  </si>
  <si>
    <t>Carat Coral 8092</t>
  </si>
  <si>
    <t>Rivets</t>
  </si>
  <si>
    <t>Job/box</t>
  </si>
  <si>
    <t>silver polish</t>
  </si>
  <si>
    <t>Quantity</t>
  </si>
  <si>
    <t>white shore</t>
  </si>
  <si>
    <t>is in boxes</t>
  </si>
  <si>
    <t>22050-2</t>
  </si>
  <si>
    <t>creative bronze</t>
  </si>
  <si>
    <t>anodic clear mica</t>
  </si>
  <si>
    <t>bright green</t>
  </si>
  <si>
    <t>slate gray</t>
  </si>
  <si>
    <t>25004-3</t>
  </si>
  <si>
    <t>23015-5</t>
  </si>
  <si>
    <t>satin mica</t>
  </si>
  <si>
    <t>23012-12</t>
  </si>
  <si>
    <t>Champagne Metalic DF-020</t>
  </si>
  <si>
    <t>light copper</t>
  </si>
  <si>
    <t>23012-2</t>
  </si>
  <si>
    <t>Champagne Metalic DF-036</t>
  </si>
  <si>
    <t>23008-3</t>
  </si>
  <si>
    <t>22038-6</t>
  </si>
  <si>
    <t>sage green df-027</t>
  </si>
  <si>
    <t>impressive pewter</t>
  </si>
  <si>
    <t>sunstorm copper</t>
  </si>
  <si>
    <t>red spice</t>
  </si>
  <si>
    <t>25002-2</t>
  </si>
  <si>
    <t>champagne metalic</t>
  </si>
  <si>
    <t>seasonal mustard</t>
  </si>
  <si>
    <t>candle light</t>
  </si>
  <si>
    <t>champagne metalic df-036</t>
  </si>
  <si>
    <t>Lupine blue</t>
  </si>
  <si>
    <t>black</t>
  </si>
  <si>
    <t>light copper met</t>
  </si>
  <si>
    <t>creek medium bronze</t>
  </si>
  <si>
    <t>anadized clear</t>
  </si>
  <si>
    <t>sapphire blue</t>
  </si>
  <si>
    <t>copper penny</t>
  </si>
  <si>
    <t>patriot red</t>
  </si>
  <si>
    <t>n/a</t>
  </si>
  <si>
    <t>un-painted</t>
  </si>
  <si>
    <t>champagne met</t>
  </si>
  <si>
    <t>jlr champagne met</t>
  </si>
  <si>
    <t>sunstorm fawn</t>
  </si>
  <si>
    <t>creative bronze df-006</t>
  </si>
  <si>
    <t>beachstone gray met</t>
  </si>
  <si>
    <t>tuscan sun</t>
  </si>
  <si>
    <t>anodic satin mica</t>
  </si>
  <si>
    <t>chesnut charcoal</t>
  </si>
  <si>
    <t>silver mica</t>
  </si>
  <si>
    <t>&lt;1</t>
  </si>
  <si>
    <t>champagne bronze</t>
  </si>
  <si>
    <t>grey</t>
  </si>
  <si>
    <t>russet mica</t>
  </si>
  <si>
    <t>beachstone gray</t>
  </si>
  <si>
    <t>white</t>
  </si>
  <si>
    <t>Oriental Cane</t>
  </si>
  <si>
    <t>timber walnut</t>
  </si>
  <si>
    <t>copper brown</t>
  </si>
  <si>
    <t>corpal red</t>
  </si>
  <si>
    <t>manhattan beige</t>
  </si>
  <si>
    <t>mzg gray</t>
  </si>
  <si>
    <t>cambridge white</t>
  </si>
  <si>
    <t>roosevelt yellow</t>
  </si>
  <si>
    <t>metro yellow</t>
  </si>
  <si>
    <t>transit gray</t>
  </si>
  <si>
    <t>gloss white</t>
  </si>
  <si>
    <t>dark copper</t>
  </si>
  <si>
    <t>silversmith</t>
  </si>
  <si>
    <t>steel city silver mica</t>
  </si>
  <si>
    <t xml:space="preserve">? </t>
  </si>
  <si>
    <t>TRC red</t>
  </si>
  <si>
    <t>program white</t>
  </si>
  <si>
    <t>zenor 63077</t>
  </si>
  <si>
    <t>red box</t>
  </si>
  <si>
    <t>crystal 124</t>
  </si>
  <si>
    <t>crystal 122</t>
  </si>
  <si>
    <t>name</t>
  </si>
  <si>
    <t>system</t>
  </si>
  <si>
    <t>unit</t>
  </si>
  <si>
    <t>Staples</t>
  </si>
  <si>
    <t>boxes</t>
  </si>
  <si>
    <t>staples</t>
  </si>
  <si>
    <t>Framing Nails</t>
  </si>
  <si>
    <t>paint</t>
  </si>
  <si>
    <t>blue</t>
  </si>
  <si>
    <t>orange</t>
  </si>
  <si>
    <t>red</t>
  </si>
  <si>
    <t>purple</t>
  </si>
  <si>
    <t>green</t>
  </si>
  <si>
    <t xml:space="preserve">wrap </t>
  </si>
  <si>
    <t>6'</t>
  </si>
  <si>
    <t>8'</t>
  </si>
  <si>
    <t>2x4</t>
  </si>
  <si>
    <t>1x8</t>
  </si>
  <si>
    <t>cardboard</t>
  </si>
  <si>
    <t>masonite</t>
  </si>
  <si>
    <t>3/4 foam sht</t>
  </si>
  <si>
    <t>monkey fur</t>
  </si>
  <si>
    <t>silver</t>
  </si>
  <si>
    <t>Dry gusset</t>
  </si>
  <si>
    <t>rd, per, wet</t>
  </si>
  <si>
    <t>&amp;1/2crate</t>
  </si>
  <si>
    <t>c4 gusset</t>
  </si>
  <si>
    <t>crate</t>
  </si>
  <si>
    <t>dry clip</t>
  </si>
  <si>
    <t>edge binder</t>
  </si>
  <si>
    <t>sp niet 4x18/k15</t>
  </si>
  <si>
    <t>tw-s-d13 5,5x29</t>
  </si>
  <si>
    <t>tu-s-6x13-a4</t>
  </si>
  <si>
    <t>tw-s-d13 5,5x38</t>
  </si>
  <si>
    <t>tuf-s-6x12-a4</t>
  </si>
  <si>
    <t>795 black</t>
  </si>
  <si>
    <t>791 gray</t>
  </si>
  <si>
    <t>plastic wrap</t>
  </si>
  <si>
    <t>flashing tape</t>
  </si>
  <si>
    <t>tu-s-6x11-a4</t>
  </si>
  <si>
    <t>tw-s-d13 5,5 38</t>
  </si>
  <si>
    <t>sso</t>
  </si>
  <si>
    <t>RDTSH-BLACK</t>
  </si>
  <si>
    <t>RDTSH-SILVER</t>
  </si>
  <si>
    <t>RDL-SILVER</t>
  </si>
  <si>
    <t>RDL-BLACK</t>
  </si>
  <si>
    <t>RDL-COLOR</t>
  </si>
  <si>
    <t>RDR-BLACK</t>
  </si>
  <si>
    <t>RDR-SILVER</t>
  </si>
  <si>
    <t>RDR-COLOR</t>
  </si>
  <si>
    <t>RDT-BLACK</t>
  </si>
  <si>
    <t>RDT-SILVER</t>
  </si>
  <si>
    <t>RDT-COLOR</t>
  </si>
  <si>
    <t>RDZH-BLACK</t>
  </si>
  <si>
    <t>RDZH-SILVER</t>
  </si>
  <si>
    <t>RDZH-COLOR</t>
  </si>
  <si>
    <t>RDTP-BLACK</t>
  </si>
  <si>
    <t>RDTP-SILVER</t>
  </si>
  <si>
    <t>RDTPH-BLACK</t>
  </si>
  <si>
    <t>RDTPH-SILVER</t>
  </si>
  <si>
    <t>RDIC-BLACK</t>
  </si>
  <si>
    <t>RDIC-SILVER</t>
  </si>
  <si>
    <t>row</t>
  </si>
  <si>
    <t>pallet</t>
  </si>
  <si>
    <t>thickness</t>
  </si>
  <si>
    <t>PER Extrusions</t>
  </si>
  <si>
    <t>WET Extrusions</t>
  </si>
  <si>
    <t>DRY Extrusions</t>
  </si>
  <si>
    <t>C4 Extrusions</t>
  </si>
  <si>
    <t>Other Extrusions</t>
  </si>
  <si>
    <t>ACM Sheets</t>
  </si>
  <si>
    <t>RDXTC-SILVER</t>
  </si>
  <si>
    <t>J-SILVER</t>
  </si>
  <si>
    <t>RDXT-BLACK</t>
  </si>
  <si>
    <t>RDXB-BLACK</t>
  </si>
  <si>
    <t>RDBB-BLACK</t>
  </si>
  <si>
    <t>RDJF-BLACK</t>
  </si>
  <si>
    <t>RDTS=SILVER</t>
  </si>
  <si>
    <t>RDJ-BLACK</t>
  </si>
  <si>
    <t>RDTH-SILVER</t>
  </si>
  <si>
    <t>62X196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</si>
  <si>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</si>
  <si>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60x196</t>
  </si>
  <si>
    <t>50x196</t>
  </si>
  <si>
    <t>51x196</t>
  </si>
  <si>
    <t>RDCJ-SILVER</t>
  </si>
  <si>
    <t>RDCJ-BLACK</t>
  </si>
  <si>
    <t>RDTH-BLACK</t>
  </si>
  <si>
    <t>RDHA-BLACK</t>
  </si>
  <si>
    <t>RDGHA-BLACK</t>
  </si>
  <si>
    <t>RDFED-BLACK</t>
  </si>
  <si>
    <t>RDFED-SILVER</t>
  </si>
  <si>
    <t>RDWEG-MILL</t>
  </si>
  <si>
    <t>RDLM-BLACK</t>
  </si>
  <si>
    <t>RDTF-BLACK</t>
  </si>
  <si>
    <t>RDGE-BLACK</t>
  </si>
  <si>
    <t>RDGE-SILVER</t>
  </si>
  <si>
    <t>RDLT-BLACK</t>
  </si>
  <si>
    <t>RDOB-BLACK</t>
  </si>
  <si>
    <t>RDOB-SILVER</t>
  </si>
  <si>
    <t>PERL-BLACK</t>
  </si>
  <si>
    <t>PERL-SILVER</t>
  </si>
  <si>
    <t>PERR-BLACK</t>
  </si>
  <si>
    <t>PERR-SILVER</t>
  </si>
  <si>
    <t>PERZ-BLACK</t>
  </si>
  <si>
    <t>PERZ-SILVER</t>
  </si>
  <si>
    <t>PERFL-BLACK</t>
  </si>
  <si>
    <t>PERFL-SILVER</t>
  </si>
  <si>
    <t>PERB-BLACK</t>
  </si>
  <si>
    <t>PERB-SILVER</t>
  </si>
  <si>
    <t>PERT-BLACK</t>
  </si>
  <si>
    <t>PERT-SILVER</t>
  </si>
  <si>
    <t>PERHA-BLACK</t>
  </si>
  <si>
    <t>PERHA-SILVER</t>
  </si>
  <si>
    <t>PERTP-SILVER</t>
  </si>
  <si>
    <t>PERJM-BLACK</t>
  </si>
  <si>
    <t>PERJM-SILVER</t>
  </si>
  <si>
    <t>PERJE-BLACK</t>
  </si>
  <si>
    <t>PERICA-BLACK</t>
  </si>
  <si>
    <t>PERICA-SILVER</t>
  </si>
  <si>
    <t>8mm</t>
  </si>
  <si>
    <t>12mm</t>
  </si>
  <si>
    <t>24031-21</t>
  </si>
  <si>
    <t>24031-22</t>
  </si>
  <si>
    <t>24031-23</t>
  </si>
  <si>
    <t>24031-24</t>
  </si>
  <si>
    <t>24031-25</t>
  </si>
  <si>
    <t>24031-26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</si>
</sst>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6"/>
      <name val="Yu Gothic"/>
      <family val="2"/>
      <charset val="128"/>
    </font>
    <font>
      <b/>
      <sz val="16"/>
      <color rgb="FF00000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6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2" xfId="0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11" borderId="1" xfId="0" applyFill="1" applyBorder="1"/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/>
    <xf numFmtId="0" fontId="0" fillId="13" borderId="1" xfId="0" applyFill="1" applyBorder="1" applyAlignment="1">
      <alignment horizontal="center"/>
    </xf>
    <xf numFmtId="0" fontId="0" fillId="13" borderId="1" xfId="0" applyFill="1" applyBorder="1"/>
    <xf numFmtId="0" fontId="0" fillId="12" borderId="1" xfId="0" applyFill="1" applyBorder="1"/>
    <xf numFmtId="0" fontId="1" fillId="8" borderId="1" xfId="0" applyFont="1" applyFill="1" applyBorder="1" applyAlignment="1">
      <alignment horizontal="center"/>
    </xf>
    <xf numFmtId="0" fontId="0" fillId="14" borderId="1" xfId="0" applyFill="1" applyBorder="1"/>
    <xf numFmtId="0" fontId="1" fillId="14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1" fillId="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0" fontId="1" fillId="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0" fontId="0" fillId="17" borderId="0" xfId="0" applyFill="1"/>
    <xf numFmtId="0" fontId="0" fillId="18" borderId="1" xfId="0" applyFill="1" applyBorder="1"/>
    <xf numFmtId="0" fontId="1" fillId="18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right"/>
    </xf>
    <xf numFmtId="0" fontId="1" fillId="17" borderId="0" xfId="0" applyFont="1" applyFill="1" applyAlignment="1">
      <alignment horizontal="center"/>
    </xf>
    <xf numFmtId="0" fontId="0" fillId="17" borderId="1" xfId="0" applyFill="1" applyBorder="1" applyAlignment="1">
      <alignment horizontal="right"/>
    </xf>
    <xf numFmtId="0" fontId="0" fillId="17" borderId="2" xfId="0" applyFill="1" applyBorder="1"/>
    <xf numFmtId="0" fontId="1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right" vertical="center"/>
    </xf>
    <xf numFmtId="0" fontId="1" fillId="18" borderId="0" xfId="0" applyFont="1" applyFill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right" vertical="center"/>
    </xf>
    <xf numFmtId="0" fontId="0" fillId="19" borderId="2" xfId="0" applyFill="1" applyBorder="1"/>
    <xf numFmtId="0" fontId="0" fillId="19" borderId="1" xfId="0" applyFill="1" applyBorder="1"/>
    <xf numFmtId="0" fontId="0" fillId="19" borderId="0" xfId="0" applyFill="1"/>
    <xf numFmtId="0" fontId="0" fillId="19" borderId="6" xfId="0" applyFill="1" applyBorder="1" applyAlignment="1">
      <alignment horizontal="center"/>
    </xf>
    <xf numFmtId="0" fontId="0" fillId="19" borderId="6" xfId="0" applyFill="1" applyBorder="1" applyAlignment="1">
      <alignment horizontal="center" vertical="center"/>
    </xf>
    <xf numFmtId="0" fontId="0" fillId="19" borderId="6" xfId="0" applyFill="1" applyBorder="1" applyAlignment="1">
      <alignment horizontal="right" vertical="center"/>
    </xf>
    <xf numFmtId="0" fontId="0" fillId="19" borderId="3" xfId="0" applyFill="1" applyBorder="1" applyAlignment="1">
      <alignment horizontal="center"/>
    </xf>
    <xf numFmtId="0" fontId="4" fillId="19" borderId="5" xfId="0" applyFont="1" applyFill="1" applyBorder="1" applyAlignment="1">
      <alignment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right" vertical="center" wrapText="1"/>
    </xf>
    <xf numFmtId="0" fontId="0" fillId="18" borderId="2" xfId="0" applyFill="1" applyBorder="1"/>
    <xf numFmtId="0" fontId="0" fillId="18" borderId="0" xfId="0" applyFill="1"/>
    <xf numFmtId="0" fontId="10" fillId="20" borderId="0" xfId="0" applyFont="1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0" fillId="10" borderId="1" xfId="0" applyFill="1" applyBorder="1"/>
    <xf numFmtId="0" fontId="11" fillId="13" borderId="1" xfId="0" applyFont="1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6" xfId="0" applyFill="1" applyBorder="1"/>
    <xf numFmtId="0" fontId="13" fillId="8" borderId="1" xfId="0" applyFont="1" applyFill="1" applyBorder="1" applyAlignment="1">
      <alignment horizontal="center"/>
    </xf>
    <xf numFmtId="0" fontId="7" fillId="13" borderId="1" xfId="0" applyFont="1" applyFill="1" applyBorder="1"/>
    <xf numFmtId="0" fontId="7" fillId="13" borderId="6" xfId="0" applyFont="1" applyFill="1" applyBorder="1"/>
    <xf numFmtId="0" fontId="7" fillId="0" borderId="0" xfId="0" applyFont="1"/>
    <xf numFmtId="0" fontId="13" fillId="14" borderId="1" xfId="0" applyFont="1" applyFill="1" applyBorder="1" applyAlignment="1">
      <alignment horizontal="center"/>
    </xf>
    <xf numFmtId="0" fontId="7" fillId="15" borderId="1" xfId="0" applyFont="1" applyFill="1" applyBorder="1"/>
    <xf numFmtId="0" fontId="13" fillId="7" borderId="1" xfId="0" applyFont="1" applyFill="1" applyBorder="1" applyAlignment="1">
      <alignment horizontal="center"/>
    </xf>
    <xf numFmtId="0" fontId="7" fillId="17" borderId="1" xfId="0" applyFont="1" applyFill="1" applyBorder="1"/>
    <xf numFmtId="0" fontId="13" fillId="18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4" borderId="1" xfId="0" applyFont="1" applyFill="1" applyBorder="1"/>
    <xf numFmtId="0" fontId="0" fillId="11" borderId="1" xfId="0" applyFill="1" applyBorder="1" applyAlignment="1">
      <alignment horizontal="center"/>
    </xf>
    <xf numFmtId="0" fontId="7" fillId="11" borderId="1" xfId="0" applyFont="1" applyFill="1" applyBorder="1"/>
    <xf numFmtId="0" fontId="7" fillId="5" borderId="1" xfId="0" applyFont="1" applyFill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13" fillId="6" borderId="1" xfId="0" applyFont="1" applyFill="1" applyBorder="1" applyAlignment="1">
      <alignment horizontal="center"/>
    </xf>
    <xf numFmtId="0" fontId="7" fillId="16" borderId="1" xfId="0" applyFont="1" applyFill="1" applyBorder="1"/>
    <xf numFmtId="0" fontId="4" fillId="19" borderId="5" xfId="0" applyFont="1" applyFill="1" applyBorder="1" applyAlignment="1">
      <alignment horizontal="center" wrapText="1"/>
    </xf>
    <xf numFmtId="0" fontId="0" fillId="19" borderId="8" xfId="0" applyFill="1" applyBorder="1" applyAlignment="1">
      <alignment horizontal="center"/>
    </xf>
    <xf numFmtId="0" fontId="4" fillId="19" borderId="9" xfId="0" applyFont="1" applyFill="1" applyBorder="1" applyAlignment="1">
      <alignment horizontal="center" wrapText="1"/>
    </xf>
    <xf numFmtId="0" fontId="4" fillId="19" borderId="9" xfId="0" applyFont="1" applyFill="1" applyBorder="1" applyAlignment="1">
      <alignment wrapText="1"/>
    </xf>
    <xf numFmtId="0" fontId="4" fillId="19" borderId="9" xfId="0" applyFont="1" applyFill="1" applyBorder="1" applyAlignment="1">
      <alignment horizontal="center" vertical="center" wrapText="1"/>
    </xf>
    <xf numFmtId="0" fontId="0" fillId="19" borderId="7" xfId="0" applyFill="1" applyBorder="1" applyAlignment="1">
      <alignment horizontal="center" vertical="center"/>
    </xf>
    <xf numFmtId="0" fontId="4" fillId="19" borderId="9" xfId="0" applyFont="1" applyFill="1" applyBorder="1" applyAlignment="1">
      <alignment horizontal="right" vertical="center" wrapText="1"/>
    </xf>
    <xf numFmtId="0" fontId="4" fillId="19" borderId="1" xfId="0" applyFont="1" applyFill="1" applyBorder="1" applyAlignment="1">
      <alignment horizontal="center" wrapText="1"/>
    </xf>
    <xf numFmtId="0" fontId="4" fillId="19" borderId="1" xfId="0" applyFont="1" applyFill="1" applyBorder="1" applyAlignment="1">
      <alignment wrapText="1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3" fillId="18" borderId="3" xfId="0" applyFont="1" applyFill="1" applyBorder="1" applyAlignment="1">
      <alignment horizontal="center"/>
    </xf>
    <xf numFmtId="0" fontId="2" fillId="18" borderId="4" xfId="0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8" fillId="20" borderId="0" xfId="0" applyFont="1" applyFill="1" applyAlignment="1">
      <alignment horizontal="center"/>
    </xf>
    <xf numFmtId="0" fontId="9" fillId="20" borderId="0" xfId="0" applyFont="1" applyFill="1" applyAlignment="1">
      <alignment horizontal="center"/>
    </xf>
    <xf numFmtId="0" fontId="6" fillId="9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FF"/>
      <color rgb="FFCC66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E655-F581-49AE-938E-74FDF62476FB}">
  <dimension ref="A1:AF69"/>
  <sheetViews>
    <sheetView tabSelected="1" zoomScale="88" workbookViewId="0">
      <selection activeCell="AF2" sqref="AF1:AF1048576"/>
    </sheetView>
  </sheetViews>
  <sheetFormatPr defaultColWidth="0" defaultRowHeight="15" zeroHeight="1" x14ac:dyDescent="0.2"/>
  <cols>
    <col min="1" max="1" width="22.46484375" customWidth="1"/>
    <col min="2" max="26" width="9.14453125" customWidth="1"/>
    <col min="27" max="27" width="9.81640625" bestFit="1" customWidth="1"/>
    <col min="28" max="28" width="8.875" bestFit="1" customWidth="1"/>
    <col min="29" max="29" width="9.68359375" customWidth="1"/>
    <col min="30" max="30" width="10.35546875" style="78" bestFit="1" customWidth="1"/>
    <col min="31" max="31" width="9.14453125" customWidth="1"/>
    <col min="32" max="32" width="9.14453125" hidden="1" customWidth="1"/>
    <col min="33" max="16384" width="9.14453125" hidden="1"/>
  </cols>
  <sheetData>
    <row r="1" spans="1:32" s="14" customFormat="1" ht="21" x14ac:dyDescent="0.3">
      <c r="A1" s="107" t="s">
        <v>818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9"/>
    </row>
    <row r="2" spans="1:32" s="31" customFormat="1" x14ac:dyDescent="0.2">
      <c r="B2" s="31">
        <v>5</v>
      </c>
      <c r="C2" s="31">
        <v>6</v>
      </c>
      <c r="D2" s="31">
        <v>7</v>
      </c>
      <c r="E2" s="31">
        <v>8</v>
      </c>
      <c r="F2" s="31">
        <v>9</v>
      </c>
      <c r="G2" s="31">
        <v>10</v>
      </c>
      <c r="H2" s="31">
        <v>11</v>
      </c>
      <c r="I2" s="31">
        <v>12</v>
      </c>
      <c r="J2" s="31">
        <v>13</v>
      </c>
      <c r="K2" s="31">
        <v>14</v>
      </c>
      <c r="L2" s="31">
        <v>15</v>
      </c>
      <c r="M2" s="31">
        <v>16</v>
      </c>
      <c r="N2" s="31">
        <v>17</v>
      </c>
      <c r="O2" s="31">
        <v>18</v>
      </c>
      <c r="P2" s="31">
        <v>19</v>
      </c>
      <c r="Q2" s="31">
        <v>20</v>
      </c>
      <c r="R2" s="31">
        <v>21</v>
      </c>
      <c r="S2" s="31">
        <v>22</v>
      </c>
      <c r="T2" s="31">
        <v>23</v>
      </c>
      <c r="U2" s="31">
        <v>24</v>
      </c>
      <c r="V2" s="31">
        <v>25</v>
      </c>
      <c r="W2" s="31">
        <v>26</v>
      </c>
      <c r="X2" s="31">
        <v>27</v>
      </c>
      <c r="Y2" s="31" t="s">
        <v>0</v>
      </c>
      <c r="Z2" s="31" t="s">
        <v>1</v>
      </c>
      <c r="AA2" s="31" t="s">
        <v>2</v>
      </c>
      <c r="AB2" s="31" t="s">
        <v>3</v>
      </c>
      <c r="AC2" s="31" t="s">
        <v>4</v>
      </c>
      <c r="AD2" s="75" t="s">
        <v>5</v>
      </c>
    </row>
    <row r="3" spans="1:32" s="29" customFormat="1" x14ac:dyDescent="0.2">
      <c r="A3" s="28" t="s">
        <v>794</v>
      </c>
      <c r="I3" s="29">
        <v>88</v>
      </c>
      <c r="L3" s="29">
        <v>35</v>
      </c>
      <c r="Y3" s="29">
        <v>13</v>
      </c>
      <c r="AC3" s="29">
        <f>SUM(B3:AB3)</f>
        <v>136</v>
      </c>
      <c r="AD3" s="76">
        <v>144</v>
      </c>
    </row>
    <row r="4" spans="1:32" s="29" customFormat="1" x14ac:dyDescent="0.2">
      <c r="A4" s="28" t="s">
        <v>793</v>
      </c>
      <c r="T4" s="29">
        <v>40</v>
      </c>
      <c r="U4" s="29">
        <v>26</v>
      </c>
      <c r="AC4" s="29">
        <f t="shared" ref="AC4:AC67" si="0">SUM(B4:AB4)</f>
        <v>66</v>
      </c>
      <c r="AD4" s="76"/>
    </row>
    <row r="5" spans="1:32" s="29" customFormat="1" x14ac:dyDescent="0.2">
      <c r="A5" s="28" t="s">
        <v>796</v>
      </c>
      <c r="D5" s="29">
        <v>54</v>
      </c>
      <c r="J5" s="29">
        <v>7</v>
      </c>
      <c r="Q5" s="29">
        <v>288</v>
      </c>
      <c r="T5" s="29">
        <v>316</v>
      </c>
      <c r="V5" s="29">
        <v>80</v>
      </c>
      <c r="Y5" s="29">
        <v>72</v>
      </c>
      <c r="AA5" s="29">
        <v>36</v>
      </c>
      <c r="AC5" s="29">
        <f t="shared" si="0"/>
        <v>853</v>
      </c>
      <c r="AD5" s="76">
        <v>1197</v>
      </c>
    </row>
    <row r="6" spans="1:32" s="29" customFormat="1" x14ac:dyDescent="0.2">
      <c r="A6" s="28" t="s">
        <v>795</v>
      </c>
      <c r="H6" s="29">
        <v>20</v>
      </c>
      <c r="L6" s="29">
        <v>118</v>
      </c>
      <c r="O6" s="29">
        <v>47</v>
      </c>
      <c r="Y6" s="29">
        <v>31</v>
      </c>
      <c r="AC6" s="29">
        <f t="shared" si="0"/>
        <v>216</v>
      </c>
      <c r="AD6" s="76"/>
    </row>
    <row r="7" spans="1:32" s="27" customFormat="1" x14ac:dyDescent="0.2">
      <c r="A7" s="26" t="s">
        <v>797</v>
      </c>
      <c r="P7" s="27">
        <v>40</v>
      </c>
      <c r="AC7" s="30">
        <f t="shared" si="0"/>
        <v>40</v>
      </c>
    </row>
    <row r="8" spans="1:32" s="29" customFormat="1" x14ac:dyDescent="0.2">
      <c r="A8" s="28" t="s">
        <v>798</v>
      </c>
      <c r="D8" s="29">
        <v>67</v>
      </c>
      <c r="R8" s="29">
        <v>518</v>
      </c>
      <c r="S8" s="29">
        <v>120</v>
      </c>
      <c r="T8" s="29">
        <v>110</v>
      </c>
      <c r="V8" s="29">
        <v>470</v>
      </c>
      <c r="Y8" s="29">
        <v>373</v>
      </c>
      <c r="AA8" s="29">
        <v>47</v>
      </c>
      <c r="AB8" s="29">
        <v>11</v>
      </c>
      <c r="AC8" s="29">
        <f t="shared" si="0"/>
        <v>1716</v>
      </c>
      <c r="AD8" s="76">
        <v>1241</v>
      </c>
    </row>
    <row r="9" spans="1:32" s="29" customFormat="1" x14ac:dyDescent="0.2">
      <c r="A9" s="28" t="s">
        <v>799</v>
      </c>
      <c r="D9" s="29">
        <v>18</v>
      </c>
      <c r="H9" s="29">
        <v>33</v>
      </c>
      <c r="I9" s="29">
        <v>145</v>
      </c>
      <c r="O9" s="29">
        <v>28</v>
      </c>
      <c r="AC9" s="29">
        <f t="shared" si="0"/>
        <v>224</v>
      </c>
      <c r="AD9" s="76"/>
    </row>
    <row r="10" spans="1:32" s="27" customFormat="1" x14ac:dyDescent="0.2">
      <c r="A10" s="26" t="s">
        <v>800</v>
      </c>
      <c r="P10" s="27">
        <v>36</v>
      </c>
      <c r="AC10" s="30">
        <f t="shared" si="0"/>
        <v>36</v>
      </c>
    </row>
    <row r="11" spans="1:32" s="29" customFormat="1" x14ac:dyDescent="0.2">
      <c r="A11" s="28" t="s">
        <v>801</v>
      </c>
      <c r="Q11" s="29">
        <v>30</v>
      </c>
      <c r="S11" s="29">
        <v>46</v>
      </c>
      <c r="W11" s="29">
        <v>205</v>
      </c>
      <c r="AC11" s="29">
        <f t="shared" si="0"/>
        <v>281</v>
      </c>
      <c r="AD11" s="76"/>
    </row>
    <row r="12" spans="1:32" s="29" customFormat="1" x14ac:dyDescent="0.2">
      <c r="A12" s="28" t="s">
        <v>802</v>
      </c>
      <c r="D12" s="29">
        <v>15</v>
      </c>
      <c r="H12" s="29">
        <v>81</v>
      </c>
      <c r="I12" s="29">
        <v>155</v>
      </c>
      <c r="K12" s="29">
        <v>9</v>
      </c>
      <c r="M12" s="29">
        <v>91</v>
      </c>
      <c r="P12" s="29">
        <v>11</v>
      </c>
      <c r="AC12" s="29">
        <f t="shared" si="0"/>
        <v>362</v>
      </c>
      <c r="AD12" s="76"/>
    </row>
    <row r="13" spans="1:32" s="27" customFormat="1" x14ac:dyDescent="0.2">
      <c r="A13" s="26" t="s">
        <v>803</v>
      </c>
      <c r="AC13" s="30">
        <f t="shared" si="0"/>
        <v>0</v>
      </c>
    </row>
    <row r="14" spans="1:32" s="29" customFormat="1" x14ac:dyDescent="0.2">
      <c r="A14" s="72" t="s">
        <v>6</v>
      </c>
      <c r="AC14" s="29">
        <f t="shared" si="0"/>
        <v>0</v>
      </c>
      <c r="AD14" s="76"/>
    </row>
    <row r="15" spans="1:32" s="29" customFormat="1" x14ac:dyDescent="0.2">
      <c r="A15" s="28" t="s">
        <v>804</v>
      </c>
      <c r="P15" s="29">
        <v>3</v>
      </c>
      <c r="U15" s="29">
        <v>116</v>
      </c>
      <c r="V15" s="29">
        <v>44</v>
      </c>
      <c r="W15" s="29">
        <v>246</v>
      </c>
      <c r="AC15" s="29">
        <f t="shared" si="0"/>
        <v>409</v>
      </c>
      <c r="AD15" s="76">
        <v>612</v>
      </c>
    </row>
    <row r="16" spans="1:32" s="29" customFormat="1" x14ac:dyDescent="0.2">
      <c r="A16" s="28" t="s">
        <v>805</v>
      </c>
      <c r="D16" s="29">
        <v>5</v>
      </c>
      <c r="H16" s="29">
        <v>44</v>
      </c>
      <c r="I16" s="29">
        <v>32</v>
      </c>
      <c r="AC16" s="29">
        <f t="shared" si="0"/>
        <v>81</v>
      </c>
      <c r="AD16" s="76"/>
    </row>
    <row r="17" spans="1:30" s="27" customFormat="1" x14ac:dyDescent="0.2">
      <c r="A17" s="26" t="s">
        <v>806</v>
      </c>
      <c r="P17" s="27">
        <v>31</v>
      </c>
      <c r="AC17" s="30">
        <f t="shared" si="0"/>
        <v>31</v>
      </c>
    </row>
    <row r="18" spans="1:30" s="29" customFormat="1" x14ac:dyDescent="0.2">
      <c r="A18" s="28" t="s">
        <v>807</v>
      </c>
      <c r="T18" s="29">
        <v>16</v>
      </c>
      <c r="AC18" s="29">
        <f t="shared" si="0"/>
        <v>16</v>
      </c>
      <c r="AD18" s="76"/>
    </row>
    <row r="19" spans="1:30" s="29" customFormat="1" x14ac:dyDescent="0.2">
      <c r="A19" s="28" t="s">
        <v>808</v>
      </c>
      <c r="H19" s="29">
        <v>170</v>
      </c>
      <c r="AC19" s="29">
        <f t="shared" si="0"/>
        <v>170</v>
      </c>
      <c r="AD19" s="76"/>
    </row>
    <row r="20" spans="1:30" s="29" customFormat="1" x14ac:dyDescent="0.2">
      <c r="A20" s="28" t="s">
        <v>809</v>
      </c>
      <c r="T20" s="29">
        <v>96</v>
      </c>
      <c r="W20" s="29">
        <v>40</v>
      </c>
      <c r="AA20" s="29">
        <v>71</v>
      </c>
      <c r="AC20" s="29">
        <f t="shared" si="0"/>
        <v>207</v>
      </c>
      <c r="AD20" s="76">
        <v>199</v>
      </c>
    </row>
    <row r="21" spans="1:30" s="29" customFormat="1" x14ac:dyDescent="0.2">
      <c r="A21" s="28" t="s">
        <v>810</v>
      </c>
      <c r="H21" s="29">
        <v>25</v>
      </c>
      <c r="AC21" s="29">
        <f t="shared" si="0"/>
        <v>25</v>
      </c>
      <c r="AD21" s="76"/>
    </row>
    <row r="22" spans="1:30" s="29" customFormat="1" x14ac:dyDescent="0.2">
      <c r="A22" s="28" t="s">
        <v>826</v>
      </c>
      <c r="AA22" s="29">
        <v>72</v>
      </c>
      <c r="AC22" s="29">
        <f t="shared" si="0"/>
        <v>72</v>
      </c>
      <c r="AD22" s="76"/>
    </row>
    <row r="23" spans="1:30" s="29" customFormat="1" x14ac:dyDescent="0.2">
      <c r="A23" s="28" t="s">
        <v>7</v>
      </c>
      <c r="AC23" s="29">
        <f t="shared" si="0"/>
        <v>0</v>
      </c>
      <c r="AD23" s="76"/>
    </row>
    <row r="24" spans="1:30" s="29" customFormat="1" x14ac:dyDescent="0.2">
      <c r="A24" s="28" t="s">
        <v>811</v>
      </c>
      <c r="S24" s="29">
        <v>30</v>
      </c>
      <c r="AC24" s="29">
        <f t="shared" si="0"/>
        <v>30</v>
      </c>
      <c r="AD24" s="76">
        <v>48</v>
      </c>
    </row>
    <row r="25" spans="1:30" s="29" customFormat="1" x14ac:dyDescent="0.2">
      <c r="A25" s="28" t="s">
        <v>812</v>
      </c>
      <c r="I25" s="29">
        <v>35</v>
      </c>
      <c r="AC25" s="29">
        <f t="shared" si="0"/>
        <v>35</v>
      </c>
      <c r="AD25" s="76"/>
    </row>
    <row r="26" spans="1:30" s="29" customFormat="1" x14ac:dyDescent="0.2">
      <c r="A26" s="28" t="s">
        <v>827</v>
      </c>
      <c r="D26" s="29">
        <v>19</v>
      </c>
      <c r="P26" s="29">
        <v>19</v>
      </c>
      <c r="U26" s="29">
        <v>61</v>
      </c>
      <c r="AA26" s="29">
        <v>134</v>
      </c>
      <c r="AC26" s="29">
        <f t="shared" si="0"/>
        <v>233</v>
      </c>
      <c r="AD26" s="76">
        <v>161</v>
      </c>
    </row>
    <row r="27" spans="1:30" s="29" customFormat="1" x14ac:dyDescent="0.2">
      <c r="A27" s="28" t="s">
        <v>828</v>
      </c>
      <c r="H27" s="29">
        <v>98</v>
      </c>
      <c r="I27" s="29">
        <v>54</v>
      </c>
      <c r="AC27" s="29">
        <f t="shared" si="0"/>
        <v>152</v>
      </c>
      <c r="AD27" s="76"/>
    </row>
    <row r="28" spans="1:30" s="29" customFormat="1" x14ac:dyDescent="0.2">
      <c r="A28" s="28" t="s">
        <v>822</v>
      </c>
      <c r="D28" s="29">
        <v>101</v>
      </c>
      <c r="AC28" s="29">
        <f t="shared" si="0"/>
        <v>101</v>
      </c>
      <c r="AD28" s="76">
        <v>113</v>
      </c>
    </row>
    <row r="29" spans="1:30" s="29" customFormat="1" x14ac:dyDescent="0.2">
      <c r="A29" s="28" t="s">
        <v>823</v>
      </c>
      <c r="H29" s="29">
        <v>48</v>
      </c>
      <c r="AC29" s="29">
        <f t="shared" si="0"/>
        <v>48</v>
      </c>
      <c r="AD29" s="76"/>
    </row>
    <row r="30" spans="1:30" s="29" customFormat="1" x14ac:dyDescent="0.2">
      <c r="A30" s="28" t="s">
        <v>824</v>
      </c>
      <c r="Q30" s="29">
        <v>2</v>
      </c>
      <c r="U30" s="29">
        <v>38</v>
      </c>
      <c r="AC30" s="29">
        <f t="shared" si="0"/>
        <v>40</v>
      </c>
      <c r="AD30" s="76">
        <v>45</v>
      </c>
    </row>
    <row r="31" spans="1:30" s="29" customFormat="1" x14ac:dyDescent="0.2">
      <c r="A31" s="28" t="s">
        <v>825</v>
      </c>
      <c r="Q31" s="29">
        <v>8</v>
      </c>
      <c r="S31" s="29">
        <v>26</v>
      </c>
      <c r="AA31" s="29">
        <v>46</v>
      </c>
      <c r="AC31" s="29">
        <f t="shared" si="0"/>
        <v>80</v>
      </c>
      <c r="AD31" s="76">
        <v>112</v>
      </c>
    </row>
    <row r="32" spans="1:30" s="29" customFormat="1" x14ac:dyDescent="0.2">
      <c r="A32" s="28" t="s">
        <v>8</v>
      </c>
      <c r="AC32" s="29">
        <f t="shared" si="0"/>
        <v>0</v>
      </c>
      <c r="AD32" s="76">
        <v>386</v>
      </c>
    </row>
    <row r="33" spans="1:30" s="29" customFormat="1" x14ac:dyDescent="0.2">
      <c r="A33" s="28" t="s">
        <v>829</v>
      </c>
      <c r="V33" s="29">
        <v>168</v>
      </c>
      <c r="AC33" s="29">
        <f t="shared" si="0"/>
        <v>168</v>
      </c>
      <c r="AD33" s="76">
        <v>192</v>
      </c>
    </row>
    <row r="34" spans="1:30" s="29" customFormat="1" x14ac:dyDescent="0.2">
      <c r="A34" s="28" t="s">
        <v>838</v>
      </c>
      <c r="S34" s="29">
        <v>49</v>
      </c>
      <c r="T34" s="29">
        <v>312</v>
      </c>
      <c r="U34" s="29">
        <v>29</v>
      </c>
      <c r="AA34" s="29">
        <v>64</v>
      </c>
      <c r="AC34" s="29">
        <f t="shared" si="0"/>
        <v>454</v>
      </c>
      <c r="AD34" s="76">
        <v>595</v>
      </c>
    </row>
    <row r="35" spans="1:30" s="29" customFormat="1" x14ac:dyDescent="0.2">
      <c r="A35" s="28" t="s">
        <v>830</v>
      </c>
      <c r="Y35" s="29">
        <v>5</v>
      </c>
      <c r="AC35" s="29">
        <f t="shared" si="0"/>
        <v>5</v>
      </c>
      <c r="AD35" s="76"/>
    </row>
    <row r="36" spans="1:30" s="29" customFormat="1" x14ac:dyDescent="0.2">
      <c r="A36" s="28" t="s">
        <v>839</v>
      </c>
      <c r="Q36" s="29">
        <v>64</v>
      </c>
      <c r="U36" s="29">
        <v>1</v>
      </c>
      <c r="AC36" s="29">
        <f t="shared" si="0"/>
        <v>65</v>
      </c>
      <c r="AD36" s="76">
        <v>150</v>
      </c>
    </row>
    <row r="37" spans="1:30" s="29" customFormat="1" x14ac:dyDescent="0.2">
      <c r="A37" s="28" t="s">
        <v>840</v>
      </c>
      <c r="U37" s="29">
        <v>5</v>
      </c>
      <c r="AC37" s="29">
        <f t="shared" si="0"/>
        <v>5</v>
      </c>
      <c r="AD37" s="76"/>
    </row>
    <row r="38" spans="1:30" s="29" customFormat="1" x14ac:dyDescent="0.2">
      <c r="A38" s="28" t="s">
        <v>9</v>
      </c>
      <c r="AC38" s="29">
        <f t="shared" si="0"/>
        <v>0</v>
      </c>
      <c r="AD38" s="76"/>
    </row>
    <row r="39" spans="1:30" s="29" customFormat="1" x14ac:dyDescent="0.2">
      <c r="A39" s="28" t="s">
        <v>841</v>
      </c>
      <c r="S39" s="29">
        <v>7</v>
      </c>
      <c r="AC39" s="29">
        <f t="shared" si="0"/>
        <v>7</v>
      </c>
      <c r="AD39" s="76"/>
    </row>
    <row r="40" spans="1:30" s="29" customFormat="1" x14ac:dyDescent="0.2">
      <c r="A40" s="28" t="s">
        <v>842</v>
      </c>
      <c r="P40" s="29">
        <v>8</v>
      </c>
      <c r="AC40" s="29">
        <f t="shared" si="0"/>
        <v>8</v>
      </c>
      <c r="AD40" s="76"/>
    </row>
    <row r="41" spans="1:30" s="29" customFormat="1" x14ac:dyDescent="0.2">
      <c r="A41" s="28" t="s">
        <v>10</v>
      </c>
      <c r="AC41" s="29">
        <f t="shared" si="0"/>
        <v>0</v>
      </c>
      <c r="AD41" s="76"/>
    </row>
    <row r="42" spans="1:30" s="29" customFormat="1" x14ac:dyDescent="0.2">
      <c r="A42" s="28" t="s">
        <v>11</v>
      </c>
      <c r="AC42" s="29">
        <f t="shared" si="0"/>
        <v>0</v>
      </c>
      <c r="AD42" s="76"/>
    </row>
    <row r="43" spans="1:30" s="29" customFormat="1" x14ac:dyDescent="0.2">
      <c r="A43" s="28" t="s">
        <v>12</v>
      </c>
      <c r="AC43" s="29">
        <f t="shared" si="0"/>
        <v>0</v>
      </c>
      <c r="AD43" s="76"/>
    </row>
    <row r="44" spans="1:30" s="29" customFormat="1" x14ac:dyDescent="0.2">
      <c r="A44" s="28" t="s">
        <v>13</v>
      </c>
      <c r="AC44" s="29">
        <f t="shared" si="0"/>
        <v>0</v>
      </c>
      <c r="AD44" s="76">
        <v>70</v>
      </c>
    </row>
    <row r="45" spans="1:30" s="29" customFormat="1" x14ac:dyDescent="0.2">
      <c r="A45" s="28" t="s">
        <v>14</v>
      </c>
      <c r="AC45" s="29">
        <f t="shared" si="0"/>
        <v>0</v>
      </c>
      <c r="AD45" s="76"/>
    </row>
    <row r="46" spans="1:30" s="29" customFormat="1" x14ac:dyDescent="0.2">
      <c r="A46" s="28" t="s">
        <v>837</v>
      </c>
      <c r="O46" s="29">
        <v>44</v>
      </c>
      <c r="Q46" s="29">
        <v>50</v>
      </c>
      <c r="S46" s="29">
        <v>60</v>
      </c>
      <c r="T46" s="29">
        <v>442</v>
      </c>
      <c r="AA46" s="29">
        <v>60</v>
      </c>
      <c r="AC46" s="29">
        <f t="shared" si="0"/>
        <v>656</v>
      </c>
      <c r="AD46" s="76">
        <v>235</v>
      </c>
    </row>
    <row r="47" spans="1:30" s="29" customFormat="1" x14ac:dyDescent="0.2">
      <c r="A47" s="28" t="s">
        <v>836</v>
      </c>
      <c r="H47" s="29">
        <v>18</v>
      </c>
      <c r="I47" s="29">
        <v>71</v>
      </c>
      <c r="K47" s="29">
        <v>13</v>
      </c>
      <c r="AC47" s="29">
        <f t="shared" si="0"/>
        <v>102</v>
      </c>
      <c r="AD47" s="76"/>
    </row>
    <row r="48" spans="1:30" s="29" customFormat="1" x14ac:dyDescent="0.2">
      <c r="A48" s="28" t="s">
        <v>843</v>
      </c>
      <c r="Z48" s="29">
        <v>1200</v>
      </c>
      <c r="AC48" s="29">
        <f t="shared" si="0"/>
        <v>1200</v>
      </c>
      <c r="AD48" s="76"/>
    </row>
    <row r="49" spans="1:30" s="29" customFormat="1" x14ac:dyDescent="0.2">
      <c r="A49" s="28" t="s">
        <v>15</v>
      </c>
      <c r="AC49" s="29">
        <f t="shared" si="0"/>
        <v>0</v>
      </c>
      <c r="AD49" s="76"/>
    </row>
    <row r="50" spans="1:30" s="29" customFormat="1" x14ac:dyDescent="0.2">
      <c r="A50" s="28" t="s">
        <v>16</v>
      </c>
      <c r="AC50" s="29">
        <f t="shared" si="0"/>
        <v>0</v>
      </c>
      <c r="AD50" s="76"/>
    </row>
    <row r="51" spans="1:30" s="29" customFormat="1" x14ac:dyDescent="0.2">
      <c r="A51" s="28" t="s">
        <v>17</v>
      </c>
      <c r="AC51" s="29">
        <f t="shared" si="0"/>
        <v>0</v>
      </c>
      <c r="AD51" s="76"/>
    </row>
    <row r="52" spans="1:30" s="29" customFormat="1" x14ac:dyDescent="0.2">
      <c r="A52" s="28" t="s">
        <v>844</v>
      </c>
      <c r="Q52" s="29">
        <v>322</v>
      </c>
      <c r="AC52" s="29">
        <f t="shared" si="0"/>
        <v>322</v>
      </c>
      <c r="AD52" s="76"/>
    </row>
    <row r="53" spans="1:30" s="29" customFormat="1" x14ac:dyDescent="0.2">
      <c r="A53" s="28" t="s">
        <v>18</v>
      </c>
      <c r="AC53" s="29">
        <f t="shared" si="0"/>
        <v>0</v>
      </c>
      <c r="AD53" s="76"/>
    </row>
    <row r="54" spans="1:30" s="29" customFormat="1" x14ac:dyDescent="0.2">
      <c r="A54" s="28" t="s">
        <v>19</v>
      </c>
      <c r="AC54" s="29">
        <f t="shared" si="0"/>
        <v>0</v>
      </c>
      <c r="AD54" s="76"/>
    </row>
    <row r="55" spans="1:30" s="29" customFormat="1" x14ac:dyDescent="0.2">
      <c r="A55" s="28" t="s">
        <v>20</v>
      </c>
      <c r="AC55" s="29">
        <f t="shared" si="0"/>
        <v>0</v>
      </c>
      <c r="AD55" s="76"/>
    </row>
    <row r="56" spans="1:30" s="29" customFormat="1" x14ac:dyDescent="0.2">
      <c r="A56" s="28" t="s">
        <v>21</v>
      </c>
      <c r="AC56" s="29">
        <f t="shared" si="0"/>
        <v>0</v>
      </c>
      <c r="AD56" s="76"/>
    </row>
    <row r="57" spans="1:30" s="29" customFormat="1" x14ac:dyDescent="0.2">
      <c r="A57" s="28" t="s">
        <v>22</v>
      </c>
      <c r="AC57" s="29">
        <f t="shared" si="0"/>
        <v>0</v>
      </c>
      <c r="AD57" s="76"/>
    </row>
    <row r="58" spans="1:30" s="29" customFormat="1" x14ac:dyDescent="0.2">
      <c r="A58" s="28" t="s">
        <v>845</v>
      </c>
      <c r="S58" s="29">
        <v>73</v>
      </c>
      <c r="AC58" s="29">
        <f t="shared" si="0"/>
        <v>73</v>
      </c>
      <c r="AD58" s="76">
        <v>102</v>
      </c>
    </row>
    <row r="59" spans="1:30" s="29" customFormat="1" x14ac:dyDescent="0.2">
      <c r="A59" s="28" t="s">
        <v>23</v>
      </c>
      <c r="AC59" s="29">
        <f t="shared" si="0"/>
        <v>0</v>
      </c>
      <c r="AD59" s="76"/>
    </row>
    <row r="60" spans="1:30" s="29" customFormat="1" x14ac:dyDescent="0.2">
      <c r="A60" s="28" t="s">
        <v>846</v>
      </c>
      <c r="P60" s="29">
        <v>60</v>
      </c>
      <c r="Q60" s="29">
        <v>52</v>
      </c>
      <c r="S60" s="29">
        <v>58</v>
      </c>
      <c r="AC60" s="29">
        <f t="shared" si="0"/>
        <v>170</v>
      </c>
      <c r="AD60" s="76"/>
    </row>
    <row r="61" spans="1:30" s="29" customFormat="1" x14ac:dyDescent="0.2">
      <c r="A61" s="28" t="s">
        <v>847</v>
      </c>
      <c r="W61" s="29">
        <v>75</v>
      </c>
      <c r="AC61" s="29">
        <f t="shared" si="0"/>
        <v>75</v>
      </c>
      <c r="AD61" s="76"/>
    </row>
    <row r="62" spans="1:30" s="29" customFormat="1" x14ac:dyDescent="0.2">
      <c r="A62" s="28" t="s">
        <v>14</v>
      </c>
      <c r="AC62" s="29">
        <f t="shared" si="0"/>
        <v>0</v>
      </c>
      <c r="AD62" s="76"/>
    </row>
    <row r="63" spans="1:30" s="29" customFormat="1" x14ac:dyDescent="0.2">
      <c r="A63" s="28" t="s">
        <v>24</v>
      </c>
      <c r="AC63" s="29">
        <f t="shared" si="0"/>
        <v>0</v>
      </c>
      <c r="AD63" s="76"/>
    </row>
    <row r="64" spans="1:30" s="29" customFormat="1" x14ac:dyDescent="0.2">
      <c r="A64" s="28" t="s">
        <v>25</v>
      </c>
      <c r="AC64" s="29">
        <f t="shared" si="0"/>
        <v>0</v>
      </c>
      <c r="AD64" s="76"/>
    </row>
    <row r="65" spans="1:30" s="29" customFormat="1" x14ac:dyDescent="0.2">
      <c r="A65" s="28" t="s">
        <v>848</v>
      </c>
      <c r="U65" s="29">
        <v>38</v>
      </c>
      <c r="AC65" s="29">
        <f t="shared" si="0"/>
        <v>38</v>
      </c>
      <c r="AD65" s="76"/>
    </row>
    <row r="66" spans="1:30" s="29" customFormat="1" x14ac:dyDescent="0.2">
      <c r="A66" s="28" t="s">
        <v>26</v>
      </c>
      <c r="AC66" s="29">
        <f t="shared" si="0"/>
        <v>0</v>
      </c>
      <c r="AD66" s="76"/>
    </row>
    <row r="67" spans="1:30" s="74" customFormat="1" x14ac:dyDescent="0.2">
      <c r="A67" s="73" t="s">
        <v>849</v>
      </c>
      <c r="H67" s="74">
        <v>79</v>
      </c>
      <c r="I67" s="74">
        <v>26</v>
      </c>
      <c r="K67" s="74">
        <v>84</v>
      </c>
      <c r="O67" s="74">
        <v>97</v>
      </c>
      <c r="P67" s="74">
        <v>36</v>
      </c>
      <c r="T67" s="74">
        <v>47</v>
      </c>
      <c r="Y67" s="74">
        <v>84</v>
      </c>
      <c r="AC67" s="29">
        <f t="shared" si="0"/>
        <v>453</v>
      </c>
      <c r="AD67" s="77">
        <v>759</v>
      </c>
    </row>
    <row r="68" spans="1:30" s="29" customFormat="1" x14ac:dyDescent="0.2">
      <c r="A68" s="28" t="s">
        <v>850</v>
      </c>
      <c r="AC68" s="29">
        <f t="shared" ref="AC68" si="1">SUM(B68:AB68)</f>
        <v>0</v>
      </c>
      <c r="AD68" s="76"/>
    </row>
    <row r="69" spans="1:30" x14ac:dyDescent="0.2"/>
  </sheetData>
  <mergeCells count="1">
    <mergeCell ref="A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7DF4-FAF6-4C61-BA94-32D73033BA28}">
  <dimension ref="A1:AG13"/>
  <sheetViews>
    <sheetView workbookViewId="0">
      <selection activeCell="AF2" sqref="AF1:AF1048576"/>
    </sheetView>
  </sheetViews>
  <sheetFormatPr defaultColWidth="0" defaultRowHeight="15" zeroHeight="1" x14ac:dyDescent="0.2"/>
  <cols>
    <col min="1" max="29" width="9.14453125" customWidth="1"/>
    <col min="30" max="30" width="9.14453125" style="78" customWidth="1"/>
    <col min="31" max="31" width="9.14453125" customWidth="1"/>
    <col min="32" max="33" width="9.14453125" hidden="1" customWidth="1"/>
    <col min="34" max="16384" width="9.14453125" hidden="1"/>
  </cols>
  <sheetData>
    <row r="1" spans="1:33" s="32" customFormat="1" ht="21" x14ac:dyDescent="0.3">
      <c r="A1" s="110" t="s">
        <v>817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2"/>
    </row>
    <row r="2" spans="1:33" s="33" customFormat="1" x14ac:dyDescent="0.2">
      <c r="B2" s="33">
        <v>5</v>
      </c>
      <c r="C2" s="33">
        <v>6</v>
      </c>
      <c r="D2" s="33">
        <v>7</v>
      </c>
      <c r="E2" s="33">
        <v>8</v>
      </c>
      <c r="F2" s="33">
        <v>9</v>
      </c>
      <c r="G2" s="33">
        <v>10</v>
      </c>
      <c r="H2" s="33">
        <v>11</v>
      </c>
      <c r="I2" s="33">
        <v>12</v>
      </c>
      <c r="J2" s="33">
        <v>13</v>
      </c>
      <c r="K2" s="33">
        <v>14</v>
      </c>
      <c r="L2" s="33">
        <v>15</v>
      </c>
      <c r="M2" s="33">
        <v>16</v>
      </c>
      <c r="N2" s="33">
        <v>17</v>
      </c>
      <c r="O2" s="33">
        <v>18</v>
      </c>
      <c r="P2" s="33">
        <v>19</v>
      </c>
      <c r="Q2" s="33">
        <v>20</v>
      </c>
      <c r="R2" s="33">
        <v>21</v>
      </c>
      <c r="S2" s="33">
        <v>22</v>
      </c>
      <c r="T2" s="33">
        <v>23</v>
      </c>
      <c r="U2" s="33">
        <v>24</v>
      </c>
      <c r="V2" s="33">
        <v>25</v>
      </c>
      <c r="W2" s="33">
        <v>26</v>
      </c>
      <c r="X2" s="33">
        <v>27</v>
      </c>
      <c r="Y2" s="33" t="s">
        <v>0</v>
      </c>
      <c r="Z2" s="33" t="s">
        <v>1</v>
      </c>
      <c r="AA2" s="33" t="s">
        <v>2</v>
      </c>
      <c r="AB2" s="33" t="s">
        <v>3</v>
      </c>
      <c r="AC2" s="33" t="s">
        <v>4</v>
      </c>
      <c r="AD2" s="79" t="s">
        <v>5</v>
      </c>
    </row>
    <row r="3" spans="1:33" s="35" customFormat="1" x14ac:dyDescent="0.2">
      <c r="A3" s="34" t="s">
        <v>41</v>
      </c>
      <c r="P3" s="35">
        <v>128</v>
      </c>
      <c r="AC3" s="35">
        <f t="shared" ref="AC3:AC12" si="0">SUM(B3:AB3)</f>
        <v>128</v>
      </c>
      <c r="AD3" s="80">
        <v>103</v>
      </c>
    </row>
    <row r="4" spans="1:33" s="35" customFormat="1" x14ac:dyDescent="0.2">
      <c r="A4" s="34" t="s">
        <v>42</v>
      </c>
      <c r="AC4" s="35">
        <f t="shared" si="0"/>
        <v>0</v>
      </c>
      <c r="AD4" s="80">
        <v>72</v>
      </c>
    </row>
    <row r="5" spans="1:33" s="35" customFormat="1" x14ac:dyDescent="0.2">
      <c r="A5" s="34" t="s">
        <v>43</v>
      </c>
      <c r="AC5" s="35">
        <f t="shared" si="0"/>
        <v>0</v>
      </c>
      <c r="AD5" s="80"/>
    </row>
    <row r="6" spans="1:33" s="35" customFormat="1" x14ac:dyDescent="0.2">
      <c r="A6" s="34" t="s">
        <v>44</v>
      </c>
      <c r="G6" s="35">
        <v>33</v>
      </c>
      <c r="H6" s="35">
        <v>43</v>
      </c>
      <c r="I6" s="35">
        <v>81</v>
      </c>
      <c r="Y6" s="35">
        <v>42</v>
      </c>
      <c r="AC6" s="35">
        <f t="shared" si="0"/>
        <v>199</v>
      </c>
      <c r="AD6" s="80">
        <v>420</v>
      </c>
    </row>
    <row r="7" spans="1:33" s="35" customFormat="1" x14ac:dyDescent="0.2">
      <c r="A7" s="34" t="s">
        <v>45</v>
      </c>
      <c r="I7" s="35">
        <v>9</v>
      </c>
      <c r="AC7" s="35">
        <f t="shared" si="0"/>
        <v>9</v>
      </c>
      <c r="AD7" s="80">
        <v>216</v>
      </c>
    </row>
    <row r="8" spans="1:33" s="35" customFormat="1" x14ac:dyDescent="0.2">
      <c r="A8" s="34" t="s">
        <v>46</v>
      </c>
      <c r="G8" s="35">
        <v>12</v>
      </c>
      <c r="I8" s="35">
        <v>54</v>
      </c>
      <c r="K8" s="35">
        <v>212</v>
      </c>
      <c r="AA8" s="35">
        <v>20</v>
      </c>
      <c r="AC8" s="35">
        <f t="shared" si="0"/>
        <v>298</v>
      </c>
      <c r="AD8" s="80">
        <v>289</v>
      </c>
    </row>
    <row r="9" spans="1:33" s="35" customFormat="1" x14ac:dyDescent="0.2">
      <c r="A9" s="34" t="s">
        <v>47</v>
      </c>
      <c r="G9" s="35">
        <v>83</v>
      </c>
      <c r="K9" s="35">
        <v>101</v>
      </c>
      <c r="M9" s="35">
        <v>276</v>
      </c>
      <c r="AC9" s="35">
        <f t="shared" si="0"/>
        <v>460</v>
      </c>
      <c r="AD9" s="80">
        <v>195</v>
      </c>
    </row>
    <row r="10" spans="1:33" s="35" customFormat="1" x14ac:dyDescent="0.2">
      <c r="A10" s="34" t="s">
        <v>48</v>
      </c>
      <c r="AB10" s="35">
        <v>112</v>
      </c>
      <c r="AC10" s="35">
        <f t="shared" si="0"/>
        <v>112</v>
      </c>
      <c r="AD10" s="80">
        <v>128</v>
      </c>
    </row>
    <row r="11" spans="1:33" s="35" customFormat="1" x14ac:dyDescent="0.2">
      <c r="A11" s="34" t="s">
        <v>49</v>
      </c>
      <c r="Y11" s="35">
        <v>106</v>
      </c>
      <c r="AA11" s="35">
        <v>35</v>
      </c>
      <c r="AC11" s="35">
        <f t="shared" si="0"/>
        <v>141</v>
      </c>
      <c r="AD11" s="80">
        <v>299</v>
      </c>
    </row>
    <row r="12" spans="1:33" s="35" customFormat="1" x14ac:dyDescent="0.2">
      <c r="A12" s="34" t="s">
        <v>50</v>
      </c>
      <c r="F12" s="35">
        <v>29</v>
      </c>
      <c r="G12" s="35">
        <v>156</v>
      </c>
      <c r="H12" s="35">
        <v>114</v>
      </c>
      <c r="I12" s="35">
        <v>72</v>
      </c>
      <c r="L12" s="35">
        <v>122</v>
      </c>
      <c r="AC12" s="35">
        <f t="shared" si="0"/>
        <v>493</v>
      </c>
      <c r="AD12" s="80">
        <v>400</v>
      </c>
    </row>
    <row r="13" spans="1:33" x14ac:dyDescent="0.2"/>
  </sheetData>
  <mergeCells count="1">
    <mergeCell ref="A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7130-1B6E-4155-84C8-D8CEF5067C0C}">
  <dimension ref="A1:AF37"/>
  <sheetViews>
    <sheetView workbookViewId="0">
      <selection activeCell="B7" sqref="B7"/>
    </sheetView>
  </sheetViews>
  <sheetFormatPr defaultColWidth="0" defaultRowHeight="15" x14ac:dyDescent="0.2"/>
  <cols>
    <col min="1" max="1" width="18.16015625" customWidth="1"/>
    <col min="2" max="29" width="9.14453125" customWidth="1"/>
    <col min="30" max="30" width="9.14453125" style="78" customWidth="1"/>
    <col min="31" max="31" width="9.14453125" customWidth="1"/>
    <col min="32" max="32" width="9.14453125" hidden="1" customWidth="1"/>
    <col min="33" max="16384" width="9.14453125" hidden="1"/>
  </cols>
  <sheetData>
    <row r="1" spans="1:32" s="6" customFormat="1" ht="21" x14ac:dyDescent="0.3">
      <c r="A1" s="104" t="s">
        <v>816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6"/>
    </row>
    <row r="2" spans="1:32" s="36" customFormat="1" x14ac:dyDescent="0.2">
      <c r="B2" s="36">
        <v>5</v>
      </c>
      <c r="C2" s="36">
        <v>6</v>
      </c>
      <c r="D2" s="36">
        <v>7</v>
      </c>
      <c r="E2" s="36">
        <v>8</v>
      </c>
      <c r="F2" s="36">
        <v>9</v>
      </c>
      <c r="G2" s="36">
        <v>10</v>
      </c>
      <c r="H2" s="36">
        <v>11</v>
      </c>
      <c r="I2" s="36">
        <v>12</v>
      </c>
      <c r="J2" s="36">
        <v>13</v>
      </c>
      <c r="K2" s="36">
        <v>14</v>
      </c>
      <c r="L2" s="36">
        <v>15</v>
      </c>
      <c r="M2" s="36">
        <v>16</v>
      </c>
      <c r="N2" s="36">
        <v>17</v>
      </c>
      <c r="O2" s="36">
        <v>18</v>
      </c>
      <c r="P2" s="36">
        <v>19</v>
      </c>
      <c r="Q2" s="36">
        <v>20</v>
      </c>
      <c r="R2" s="36">
        <v>21</v>
      </c>
      <c r="S2" s="36">
        <v>22</v>
      </c>
      <c r="T2" s="36">
        <v>23</v>
      </c>
      <c r="U2" s="36">
        <v>24</v>
      </c>
      <c r="V2" s="36">
        <v>25</v>
      </c>
      <c r="W2" s="36">
        <v>26</v>
      </c>
      <c r="X2" s="36">
        <v>27</v>
      </c>
      <c r="Y2" s="36" t="s">
        <v>0</v>
      </c>
      <c r="Z2" s="36" t="s">
        <v>1</v>
      </c>
      <c r="AA2" s="36" t="s">
        <v>2</v>
      </c>
      <c r="AB2" s="36" t="s">
        <v>3</v>
      </c>
      <c r="AC2" s="36" t="s">
        <v>4</v>
      </c>
      <c r="AD2" s="91" t="s">
        <v>5</v>
      </c>
    </row>
    <row r="3" spans="1:32" s="38" customFormat="1" x14ac:dyDescent="0.2">
      <c r="A3" s="37" t="s">
        <v>851</v>
      </c>
      <c r="O3" s="38">
        <v>68</v>
      </c>
      <c r="P3" s="38">
        <v>72</v>
      </c>
      <c r="Q3" s="38">
        <v>146</v>
      </c>
      <c r="Y3" s="38">
        <v>17</v>
      </c>
      <c r="Z3" s="38">
        <v>638</v>
      </c>
      <c r="AA3" s="38">
        <v>48</v>
      </c>
      <c r="AC3" s="38">
        <f t="shared" ref="AC3:AC37" si="0">SUM(B3:AB3)</f>
        <v>989</v>
      </c>
      <c r="AD3" s="92">
        <v>914</v>
      </c>
    </row>
    <row r="4" spans="1:32" s="38" customFormat="1" x14ac:dyDescent="0.2">
      <c r="A4" s="37" t="s">
        <v>852</v>
      </c>
      <c r="H4" s="38">
        <v>13</v>
      </c>
      <c r="AC4" s="38">
        <f t="shared" si="0"/>
        <v>13</v>
      </c>
      <c r="AD4" s="92"/>
    </row>
    <row r="5" spans="1:32" s="38" customFormat="1" x14ac:dyDescent="0.2">
      <c r="A5" s="37" t="s">
        <v>853</v>
      </c>
      <c r="D5" s="38">
        <v>78</v>
      </c>
      <c r="O5" s="38">
        <v>224</v>
      </c>
      <c r="P5" s="38">
        <v>214</v>
      </c>
      <c r="S5" s="38">
        <v>80</v>
      </c>
      <c r="X5" s="38">
        <v>50</v>
      </c>
      <c r="Y5" s="38">
        <v>14</v>
      </c>
      <c r="Z5" s="38">
        <v>600</v>
      </c>
      <c r="AA5" s="38">
        <v>50</v>
      </c>
      <c r="AC5" s="38">
        <f t="shared" si="0"/>
        <v>1310</v>
      </c>
      <c r="AD5" s="92">
        <v>836</v>
      </c>
    </row>
    <row r="6" spans="1:32" s="38" customFormat="1" x14ac:dyDescent="0.2">
      <c r="A6" s="37" t="s">
        <v>854</v>
      </c>
      <c r="H6" s="38">
        <v>11</v>
      </c>
      <c r="I6" s="38">
        <v>48</v>
      </c>
      <c r="K6" s="38">
        <v>62</v>
      </c>
      <c r="AC6" s="38">
        <f t="shared" si="0"/>
        <v>121</v>
      </c>
      <c r="AD6" s="92"/>
    </row>
    <row r="7" spans="1:32" s="38" customFormat="1" x14ac:dyDescent="0.2">
      <c r="A7" s="37" t="s">
        <v>855</v>
      </c>
      <c r="P7" s="38">
        <v>11</v>
      </c>
      <c r="Z7" s="38">
        <v>163</v>
      </c>
      <c r="AA7" s="38">
        <v>98</v>
      </c>
      <c r="AC7" s="38">
        <f t="shared" si="0"/>
        <v>272</v>
      </c>
      <c r="AD7" s="92">
        <v>708</v>
      </c>
    </row>
    <row r="8" spans="1:32" s="38" customFormat="1" x14ac:dyDescent="0.2">
      <c r="A8" s="37" t="s">
        <v>856</v>
      </c>
      <c r="D8" s="38">
        <v>33</v>
      </c>
      <c r="I8" s="38">
        <v>12</v>
      </c>
      <c r="AC8" s="38">
        <f t="shared" si="0"/>
        <v>45</v>
      </c>
      <c r="AD8" s="92"/>
    </row>
    <row r="9" spans="1:32" s="38" customFormat="1" x14ac:dyDescent="0.2">
      <c r="A9" s="37" t="s">
        <v>857</v>
      </c>
      <c r="AC9" s="38">
        <f t="shared" si="0"/>
        <v>0</v>
      </c>
      <c r="AD9" s="92"/>
    </row>
    <row r="10" spans="1:32" s="38" customFormat="1" x14ac:dyDescent="0.2">
      <c r="A10" s="37" t="s">
        <v>858</v>
      </c>
      <c r="AC10" s="38">
        <f t="shared" si="0"/>
        <v>0</v>
      </c>
      <c r="AD10" s="92"/>
    </row>
    <row r="11" spans="1:32" s="38" customFormat="1" x14ac:dyDescent="0.2">
      <c r="A11" s="37" t="s">
        <v>859</v>
      </c>
      <c r="K11" s="38">
        <v>43</v>
      </c>
      <c r="Q11" s="38">
        <v>24</v>
      </c>
      <c r="AA11" s="38">
        <v>79</v>
      </c>
      <c r="AC11" s="38">
        <f t="shared" si="0"/>
        <v>146</v>
      </c>
      <c r="AD11" s="92">
        <v>592</v>
      </c>
    </row>
    <row r="12" spans="1:32" s="38" customFormat="1" x14ac:dyDescent="0.2">
      <c r="A12" s="37" t="s">
        <v>860</v>
      </c>
      <c r="AC12" s="38">
        <f t="shared" si="0"/>
        <v>0</v>
      </c>
      <c r="AD12" s="92"/>
    </row>
    <row r="13" spans="1:32" s="38" customFormat="1" x14ac:dyDescent="0.2">
      <c r="A13" s="37" t="s">
        <v>861</v>
      </c>
      <c r="D13" s="38">
        <v>12</v>
      </c>
      <c r="K13" s="38">
        <v>25</v>
      </c>
      <c r="W13" s="38">
        <v>585</v>
      </c>
      <c r="Y13" s="38">
        <v>17</v>
      </c>
      <c r="AA13" s="38">
        <v>50</v>
      </c>
      <c r="AC13" s="38">
        <f t="shared" si="0"/>
        <v>689</v>
      </c>
      <c r="AD13" s="92">
        <v>626</v>
      </c>
    </row>
    <row r="14" spans="1:32" s="38" customFormat="1" x14ac:dyDescent="0.2">
      <c r="A14" s="37" t="s">
        <v>862</v>
      </c>
      <c r="AC14" s="38">
        <f t="shared" si="0"/>
        <v>0</v>
      </c>
      <c r="AD14" s="92"/>
    </row>
    <row r="15" spans="1:32" s="38" customFormat="1" x14ac:dyDescent="0.2">
      <c r="A15" s="37" t="s">
        <v>866</v>
      </c>
      <c r="O15" s="38">
        <v>32</v>
      </c>
      <c r="P15" s="38">
        <v>59</v>
      </c>
      <c r="T15" s="38">
        <v>105</v>
      </c>
      <c r="AA15" s="38">
        <v>50</v>
      </c>
      <c r="AC15" s="38">
        <f t="shared" si="0"/>
        <v>246</v>
      </c>
      <c r="AD15" s="92">
        <v>443</v>
      </c>
    </row>
    <row r="16" spans="1:32" s="38" customFormat="1" x14ac:dyDescent="0.2">
      <c r="A16" s="37" t="s">
        <v>867</v>
      </c>
      <c r="AC16" s="38">
        <f t="shared" si="0"/>
        <v>0</v>
      </c>
      <c r="AD16" s="92"/>
    </row>
    <row r="17" spans="1:30" s="38" customFormat="1" x14ac:dyDescent="0.2">
      <c r="A17" s="37" t="s">
        <v>865</v>
      </c>
      <c r="L17" s="38">
        <v>50</v>
      </c>
      <c r="AC17" s="38">
        <f t="shared" si="0"/>
        <v>50</v>
      </c>
      <c r="AD17" s="92">
        <v>137</v>
      </c>
    </row>
    <row r="18" spans="1:30" s="38" customFormat="1" x14ac:dyDescent="0.2">
      <c r="A18" s="37" t="s">
        <v>863</v>
      </c>
      <c r="D18" s="38">
        <v>46</v>
      </c>
      <c r="K18" s="38">
        <v>15</v>
      </c>
      <c r="V18" s="38">
        <v>83</v>
      </c>
      <c r="AA18" s="38">
        <v>53</v>
      </c>
      <c r="AC18" s="38">
        <f t="shared" si="0"/>
        <v>197</v>
      </c>
      <c r="AD18" s="92">
        <v>331</v>
      </c>
    </row>
    <row r="19" spans="1:30" s="38" customFormat="1" x14ac:dyDescent="0.2">
      <c r="A19" s="37" t="s">
        <v>864</v>
      </c>
      <c r="AC19" s="38">
        <f t="shared" si="0"/>
        <v>0</v>
      </c>
      <c r="AD19" s="92"/>
    </row>
    <row r="20" spans="1:30" s="38" customFormat="1" x14ac:dyDescent="0.2">
      <c r="A20" s="37" t="s">
        <v>868</v>
      </c>
      <c r="U20" s="38">
        <v>30</v>
      </c>
      <c r="X20" s="38">
        <v>32</v>
      </c>
      <c r="AC20" s="38">
        <f t="shared" si="0"/>
        <v>62</v>
      </c>
      <c r="AD20" s="92">
        <v>25</v>
      </c>
    </row>
    <row r="21" spans="1:30" s="38" customFormat="1" x14ac:dyDescent="0.2">
      <c r="A21" s="37" t="s">
        <v>869</v>
      </c>
      <c r="X21" s="38">
        <v>26</v>
      </c>
      <c r="AC21" s="38">
        <f t="shared" si="0"/>
        <v>26</v>
      </c>
      <c r="AD21" s="92">
        <v>76</v>
      </c>
    </row>
    <row r="22" spans="1:30" s="38" customFormat="1" x14ac:dyDescent="0.2">
      <c r="A22" s="37" t="s">
        <v>870</v>
      </c>
      <c r="H22" s="38">
        <v>13</v>
      </c>
      <c r="O22" s="38">
        <v>41</v>
      </c>
      <c r="AC22" s="38">
        <f t="shared" si="0"/>
        <v>54</v>
      </c>
      <c r="AD22" s="92"/>
    </row>
    <row r="23" spans="1:30" s="38" customFormat="1" x14ac:dyDescent="0.2">
      <c r="A23" s="37" t="s">
        <v>27</v>
      </c>
      <c r="V23" s="38">
        <v>120</v>
      </c>
      <c r="AC23" s="38">
        <f t="shared" si="0"/>
        <v>120</v>
      </c>
      <c r="AD23" s="92">
        <v>78</v>
      </c>
    </row>
    <row r="24" spans="1:30" s="38" customFormat="1" x14ac:dyDescent="0.2">
      <c r="A24" s="37" t="s">
        <v>28</v>
      </c>
      <c r="K24" s="38">
        <v>38</v>
      </c>
      <c r="X24" s="38">
        <v>108</v>
      </c>
      <c r="AC24" s="38">
        <f t="shared" si="0"/>
        <v>146</v>
      </c>
      <c r="AD24" s="92"/>
    </row>
    <row r="25" spans="1:30" s="38" customFormat="1" x14ac:dyDescent="0.2">
      <c r="A25" s="37" t="s">
        <v>29</v>
      </c>
      <c r="O25" s="38">
        <v>67</v>
      </c>
      <c r="V25" s="38">
        <v>132</v>
      </c>
      <c r="AC25" s="38">
        <f t="shared" si="0"/>
        <v>199</v>
      </c>
      <c r="AD25" s="92">
        <v>111</v>
      </c>
    </row>
    <row r="26" spans="1:30" s="38" customFormat="1" x14ac:dyDescent="0.2">
      <c r="A26" s="37" t="s">
        <v>30</v>
      </c>
      <c r="Q26" s="38">
        <v>105</v>
      </c>
      <c r="V26" s="38">
        <v>112</v>
      </c>
      <c r="X26" s="38">
        <v>98</v>
      </c>
      <c r="AC26" s="38">
        <f t="shared" si="0"/>
        <v>315</v>
      </c>
      <c r="AD26" s="92">
        <v>347</v>
      </c>
    </row>
    <row r="27" spans="1:30" s="38" customFormat="1" x14ac:dyDescent="0.2">
      <c r="A27" s="37" t="s">
        <v>31</v>
      </c>
      <c r="V27" s="38">
        <v>9</v>
      </c>
      <c r="AA27" s="38">
        <v>86</v>
      </c>
      <c r="AC27" s="38">
        <f t="shared" si="0"/>
        <v>95</v>
      </c>
      <c r="AD27" s="92">
        <v>220</v>
      </c>
    </row>
    <row r="28" spans="1:30" s="38" customFormat="1" x14ac:dyDescent="0.2">
      <c r="A28" s="37" t="s">
        <v>32</v>
      </c>
      <c r="O28" s="38">
        <v>30</v>
      </c>
      <c r="P28" s="38">
        <v>7</v>
      </c>
      <c r="S28" s="38">
        <v>12</v>
      </c>
      <c r="V28" s="38">
        <v>70</v>
      </c>
      <c r="AC28" s="38">
        <f t="shared" si="0"/>
        <v>119</v>
      </c>
      <c r="AD28" s="92">
        <v>111</v>
      </c>
    </row>
    <row r="29" spans="1:30" s="38" customFormat="1" x14ac:dyDescent="0.2">
      <c r="A29" s="37" t="s">
        <v>33</v>
      </c>
      <c r="P29" s="38">
        <v>2</v>
      </c>
      <c r="W29" s="38">
        <v>39</v>
      </c>
      <c r="Y29" s="38">
        <v>8</v>
      </c>
      <c r="AC29" s="38">
        <f t="shared" si="0"/>
        <v>49</v>
      </c>
      <c r="AD29" s="92">
        <v>62</v>
      </c>
    </row>
    <row r="30" spans="1:30" s="38" customFormat="1" x14ac:dyDescent="0.2">
      <c r="A30" s="37" t="s">
        <v>34</v>
      </c>
      <c r="U30" s="38">
        <v>60</v>
      </c>
      <c r="AC30" s="38">
        <f t="shared" si="0"/>
        <v>60</v>
      </c>
      <c r="AD30" s="92">
        <v>42</v>
      </c>
    </row>
    <row r="31" spans="1:30" s="38" customFormat="1" x14ac:dyDescent="0.2">
      <c r="A31" s="37" t="s">
        <v>35</v>
      </c>
      <c r="AC31" s="38">
        <f t="shared" si="0"/>
        <v>0</v>
      </c>
      <c r="AD31" s="92"/>
    </row>
    <row r="32" spans="1:30" s="38" customFormat="1" x14ac:dyDescent="0.2">
      <c r="A32" s="37" t="s">
        <v>36</v>
      </c>
      <c r="D32" s="38">
        <v>51</v>
      </c>
      <c r="AA32" s="38">
        <v>19</v>
      </c>
      <c r="AC32" s="38">
        <f t="shared" si="0"/>
        <v>70</v>
      </c>
      <c r="AD32" s="92">
        <v>32</v>
      </c>
    </row>
    <row r="33" spans="1:30" s="38" customFormat="1" x14ac:dyDescent="0.2">
      <c r="A33" s="37"/>
      <c r="AC33" s="38">
        <f t="shared" si="0"/>
        <v>0</v>
      </c>
      <c r="AD33" s="92"/>
    </row>
    <row r="34" spans="1:30" s="38" customFormat="1" x14ac:dyDescent="0.2">
      <c r="A34" s="37" t="s">
        <v>37</v>
      </c>
      <c r="AC34" s="38">
        <f t="shared" si="0"/>
        <v>0</v>
      </c>
      <c r="AD34" s="92"/>
    </row>
    <row r="35" spans="1:30" s="38" customFormat="1" x14ac:dyDescent="0.2">
      <c r="A35" s="37" t="s">
        <v>38</v>
      </c>
      <c r="K35" s="38">
        <v>112</v>
      </c>
      <c r="P35" s="38">
        <v>38</v>
      </c>
      <c r="AC35" s="38">
        <f t="shared" si="0"/>
        <v>150</v>
      </c>
      <c r="AD35" s="92"/>
    </row>
    <row r="36" spans="1:30" s="38" customFormat="1" x14ac:dyDescent="0.2">
      <c r="A36" s="37" t="s">
        <v>39</v>
      </c>
      <c r="AC36" s="38">
        <f t="shared" si="0"/>
        <v>0</v>
      </c>
      <c r="AD36" s="92"/>
    </row>
    <row r="37" spans="1:30" s="38" customFormat="1" x14ac:dyDescent="0.2">
      <c r="A37" s="37" t="s">
        <v>40</v>
      </c>
      <c r="X37" s="38">
        <v>128</v>
      </c>
      <c r="AC37" s="38">
        <f t="shared" si="0"/>
        <v>128</v>
      </c>
      <c r="AD37" s="92">
        <v>84</v>
      </c>
    </row>
  </sheetData>
  <mergeCells count="1">
    <mergeCell ref="A1:A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2F17-93F5-47DE-86A1-06C0D8B0DDDE}">
  <dimension ref="A1:AG27"/>
  <sheetViews>
    <sheetView workbookViewId="0">
      <selection activeCell="AF2" sqref="AF1:AF1048576"/>
    </sheetView>
  </sheetViews>
  <sheetFormatPr defaultColWidth="0" defaultRowHeight="15" zeroHeight="1" x14ac:dyDescent="0.2"/>
  <cols>
    <col min="1" max="29" width="9.14453125" customWidth="1"/>
    <col min="30" max="30" width="9.14453125" style="78" customWidth="1"/>
    <col min="31" max="31" width="9.14453125" customWidth="1"/>
    <col min="32" max="32" width="9.14453125" hidden="1" customWidth="1"/>
    <col min="33" max="33" width="0" hidden="1" customWidth="1"/>
    <col min="34" max="16384" width="9.14453125" hidden="1"/>
  </cols>
  <sheetData>
    <row r="1" spans="1:32" s="12" customFormat="1" ht="21" x14ac:dyDescent="0.3">
      <c r="A1" s="113" t="s">
        <v>819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5"/>
    </row>
    <row r="2" spans="1:32" s="39" customFormat="1" x14ac:dyDescent="0.2">
      <c r="B2" s="39">
        <v>5</v>
      </c>
      <c r="C2" s="39">
        <v>6</v>
      </c>
      <c r="D2" s="39">
        <v>7</v>
      </c>
      <c r="E2" s="39">
        <v>8</v>
      </c>
      <c r="F2" s="39">
        <v>9</v>
      </c>
      <c r="G2" s="39">
        <v>10</v>
      </c>
      <c r="H2" s="39">
        <v>11</v>
      </c>
      <c r="I2" s="39">
        <v>12</v>
      </c>
      <c r="J2" s="39">
        <v>13</v>
      </c>
      <c r="K2" s="39">
        <v>14</v>
      </c>
      <c r="L2" s="39">
        <v>15</v>
      </c>
      <c r="M2" s="39">
        <v>16</v>
      </c>
      <c r="N2" s="39">
        <v>17</v>
      </c>
      <c r="O2" s="39">
        <v>18</v>
      </c>
      <c r="P2" s="39">
        <v>19</v>
      </c>
      <c r="Q2" s="39">
        <v>20</v>
      </c>
      <c r="R2" s="39">
        <v>21</v>
      </c>
      <c r="S2" s="39">
        <v>22</v>
      </c>
      <c r="T2" s="39">
        <v>23</v>
      </c>
      <c r="U2" s="39">
        <v>24</v>
      </c>
      <c r="V2" s="39">
        <v>25</v>
      </c>
      <c r="W2" s="39">
        <v>26</v>
      </c>
      <c r="X2" s="39">
        <v>27</v>
      </c>
      <c r="Y2" s="39" t="s">
        <v>0</v>
      </c>
      <c r="Z2" s="39" t="s">
        <v>1</v>
      </c>
      <c r="AA2" s="39" t="s">
        <v>2</v>
      </c>
      <c r="AB2" s="39" t="s">
        <v>3</v>
      </c>
      <c r="AC2" s="39" t="s">
        <v>4</v>
      </c>
      <c r="AD2" s="81" t="s">
        <v>5</v>
      </c>
    </row>
    <row r="3" spans="1:32" s="41" customFormat="1" x14ac:dyDescent="0.2">
      <c r="A3" s="40" t="s">
        <v>60</v>
      </c>
      <c r="AC3" s="41">
        <v>501</v>
      </c>
      <c r="AD3" s="82">
        <v>47</v>
      </c>
    </row>
    <row r="4" spans="1:32" s="41" customFormat="1" x14ac:dyDescent="0.2">
      <c r="A4" s="40" t="s">
        <v>61</v>
      </c>
      <c r="G4" s="41">
        <v>1114</v>
      </c>
      <c r="Y4" s="41">
        <v>11</v>
      </c>
      <c r="AC4" s="41">
        <f t="shared" ref="AC4:AC26" si="0">SUM(B4:AB4)</f>
        <v>1125</v>
      </c>
      <c r="AD4" s="82">
        <v>1855</v>
      </c>
    </row>
    <row r="5" spans="1:32" s="41" customFormat="1" x14ac:dyDescent="0.2">
      <c r="A5" s="40" t="s">
        <v>62</v>
      </c>
      <c r="AC5" s="41">
        <f t="shared" si="0"/>
        <v>0</v>
      </c>
      <c r="AD5" s="82">
        <v>530</v>
      </c>
    </row>
    <row r="6" spans="1:32" s="41" customFormat="1" x14ac:dyDescent="0.2">
      <c r="A6" s="40" t="s">
        <v>63</v>
      </c>
      <c r="AC6" s="41">
        <f t="shared" si="0"/>
        <v>0</v>
      </c>
      <c r="AD6" s="82"/>
    </row>
    <row r="7" spans="1:32" s="41" customFormat="1" x14ac:dyDescent="0.2">
      <c r="A7" s="40" t="s">
        <v>64</v>
      </c>
      <c r="J7" s="41">
        <v>46</v>
      </c>
      <c r="Q7" s="41">
        <v>44</v>
      </c>
      <c r="U7" s="41">
        <v>268</v>
      </c>
      <c r="Z7" s="41">
        <v>18</v>
      </c>
      <c r="AC7" s="41">
        <v>2136</v>
      </c>
      <c r="AD7" s="82">
        <v>350</v>
      </c>
    </row>
    <row r="8" spans="1:32" s="41" customFormat="1" x14ac:dyDescent="0.2">
      <c r="A8" s="40" t="s">
        <v>65</v>
      </c>
      <c r="J8" s="41">
        <v>146</v>
      </c>
      <c r="AC8" s="41">
        <v>342</v>
      </c>
      <c r="AD8" s="82">
        <v>150</v>
      </c>
    </row>
    <row r="9" spans="1:32" s="41" customFormat="1" x14ac:dyDescent="0.2">
      <c r="A9" s="40" t="s">
        <v>66</v>
      </c>
      <c r="AC9" s="41">
        <f t="shared" si="0"/>
        <v>0</v>
      </c>
      <c r="AD9" s="82"/>
    </row>
    <row r="10" spans="1:32" s="41" customFormat="1" x14ac:dyDescent="0.2">
      <c r="A10" s="40" t="s">
        <v>67</v>
      </c>
      <c r="AC10" s="41">
        <f t="shared" si="0"/>
        <v>0</v>
      </c>
      <c r="AD10" s="82"/>
    </row>
    <row r="11" spans="1:32" s="41" customFormat="1" x14ac:dyDescent="0.2">
      <c r="A11" s="40" t="s">
        <v>68</v>
      </c>
      <c r="Q11" s="41">
        <v>26</v>
      </c>
      <c r="AB11" s="41">
        <v>16</v>
      </c>
      <c r="AC11" s="41">
        <f t="shared" si="0"/>
        <v>42</v>
      </c>
      <c r="AD11" s="82"/>
    </row>
    <row r="12" spans="1:32" s="41" customFormat="1" x14ac:dyDescent="0.2">
      <c r="A12" s="40" t="s">
        <v>69</v>
      </c>
      <c r="AC12" s="41">
        <f t="shared" si="0"/>
        <v>0</v>
      </c>
      <c r="AD12" s="82">
        <v>187</v>
      </c>
    </row>
    <row r="13" spans="1:32" s="41" customFormat="1" x14ac:dyDescent="0.2">
      <c r="A13" s="40" t="s">
        <v>70</v>
      </c>
      <c r="AC13" s="41">
        <f t="shared" si="0"/>
        <v>0</v>
      </c>
      <c r="AD13" s="82">
        <v>23</v>
      </c>
    </row>
    <row r="14" spans="1:32" s="41" customFormat="1" x14ac:dyDescent="0.2">
      <c r="A14" s="40" t="s">
        <v>71</v>
      </c>
      <c r="O14" s="41">
        <v>27</v>
      </c>
      <c r="AC14" s="41">
        <v>7700</v>
      </c>
      <c r="AD14" s="82">
        <v>52</v>
      </c>
    </row>
    <row r="15" spans="1:32" s="41" customFormat="1" x14ac:dyDescent="0.2">
      <c r="A15" s="40" t="s">
        <v>72</v>
      </c>
      <c r="AC15" s="41">
        <v>1501</v>
      </c>
      <c r="AD15" s="82"/>
    </row>
    <row r="16" spans="1:32" s="41" customFormat="1" x14ac:dyDescent="0.2">
      <c r="A16" s="40" t="s">
        <v>73</v>
      </c>
      <c r="AC16" s="41">
        <f t="shared" si="0"/>
        <v>0</v>
      </c>
      <c r="AD16" s="82">
        <v>30</v>
      </c>
    </row>
    <row r="17" spans="1:30" s="41" customFormat="1" x14ac:dyDescent="0.2">
      <c r="A17" s="40" t="s">
        <v>74</v>
      </c>
      <c r="D17" s="41">
        <v>91</v>
      </c>
      <c r="AC17" s="41">
        <f t="shared" si="0"/>
        <v>91</v>
      </c>
      <c r="AD17" s="82">
        <v>274</v>
      </c>
    </row>
    <row r="18" spans="1:30" s="41" customFormat="1" x14ac:dyDescent="0.2">
      <c r="A18" s="40" t="s">
        <v>75</v>
      </c>
      <c r="AC18" s="41">
        <f t="shared" si="0"/>
        <v>0</v>
      </c>
      <c r="AD18" s="82">
        <v>58</v>
      </c>
    </row>
    <row r="19" spans="1:30" s="41" customFormat="1" x14ac:dyDescent="0.2">
      <c r="A19" s="40" t="s">
        <v>76</v>
      </c>
      <c r="AB19" s="41">
        <v>21</v>
      </c>
      <c r="AC19" s="41">
        <f t="shared" si="0"/>
        <v>21</v>
      </c>
      <c r="AD19" s="82"/>
    </row>
    <row r="20" spans="1:30" s="41" customFormat="1" x14ac:dyDescent="0.2">
      <c r="A20" s="40" t="s">
        <v>77</v>
      </c>
      <c r="AC20" s="41">
        <v>90</v>
      </c>
      <c r="AD20" s="82">
        <v>122</v>
      </c>
    </row>
    <row r="21" spans="1:30" s="41" customFormat="1" x14ac:dyDescent="0.2">
      <c r="A21" s="40" t="s">
        <v>78</v>
      </c>
      <c r="Z21" s="41">
        <v>250</v>
      </c>
      <c r="AC21" s="41">
        <v>1032</v>
      </c>
      <c r="AD21" s="82">
        <v>80</v>
      </c>
    </row>
    <row r="22" spans="1:30" s="41" customFormat="1" x14ac:dyDescent="0.2">
      <c r="A22" s="40" t="s">
        <v>79</v>
      </c>
      <c r="AB22" s="41">
        <v>226</v>
      </c>
      <c r="AC22" s="41">
        <v>1772</v>
      </c>
      <c r="AD22" s="82">
        <v>198</v>
      </c>
    </row>
    <row r="23" spans="1:30" s="41" customFormat="1" x14ac:dyDescent="0.2">
      <c r="A23" s="40" t="s">
        <v>80</v>
      </c>
      <c r="O23" s="41">
        <v>17</v>
      </c>
      <c r="AB23" s="41">
        <v>102</v>
      </c>
      <c r="AC23" s="41">
        <v>921</v>
      </c>
      <c r="AD23" s="82">
        <v>132</v>
      </c>
    </row>
    <row r="24" spans="1:30" s="41" customFormat="1" x14ac:dyDescent="0.2">
      <c r="A24" s="40" t="s">
        <v>81</v>
      </c>
      <c r="AB24" s="41">
        <v>22</v>
      </c>
      <c r="AC24" s="41">
        <v>116</v>
      </c>
      <c r="AD24" s="82"/>
    </row>
    <row r="25" spans="1:30" s="41" customFormat="1" x14ac:dyDescent="0.2">
      <c r="A25" s="40" t="s">
        <v>82</v>
      </c>
      <c r="Y25" s="41">
        <v>78</v>
      </c>
      <c r="AB25" s="41">
        <v>142</v>
      </c>
      <c r="AC25" s="41">
        <v>336</v>
      </c>
      <c r="AD25" s="82">
        <v>145</v>
      </c>
    </row>
    <row r="26" spans="1:30" s="41" customFormat="1" x14ac:dyDescent="0.2">
      <c r="A26" s="40" t="s">
        <v>83</v>
      </c>
      <c r="AC26" s="41">
        <f t="shared" si="0"/>
        <v>0</v>
      </c>
      <c r="AD26" s="82">
        <v>49</v>
      </c>
    </row>
    <row r="27" spans="1:30" x14ac:dyDescent="0.2"/>
  </sheetData>
  <mergeCells count="1">
    <mergeCell ref="A1:A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9F05-8831-40D0-A342-C5606134FDF1}">
  <dimension ref="A1:AG96"/>
  <sheetViews>
    <sheetView workbookViewId="0">
      <selection activeCell="A97" sqref="A97:XFD1048576"/>
    </sheetView>
  </sheetViews>
  <sheetFormatPr defaultColWidth="0" defaultRowHeight="15" zeroHeight="1" x14ac:dyDescent="0.2"/>
  <cols>
    <col min="1" max="1" width="16.0078125" bestFit="1" customWidth="1"/>
    <col min="2" max="29" width="9.14453125" customWidth="1"/>
    <col min="30" max="30" width="9.14453125" style="78" customWidth="1"/>
    <col min="31" max="31" width="9.14453125" customWidth="1"/>
    <col min="32" max="32" width="9.14453125" hidden="1" customWidth="1"/>
    <col min="33" max="33" width="0" hidden="1" customWidth="1"/>
    <col min="34" max="16384" width="9.14453125" hidden="1"/>
  </cols>
  <sheetData>
    <row r="1" spans="1:32" s="43" customFormat="1" ht="21" x14ac:dyDescent="0.3">
      <c r="A1" s="116" t="s">
        <v>820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8"/>
    </row>
    <row r="2" spans="1:32" s="44" customFormat="1" x14ac:dyDescent="0.2">
      <c r="B2" s="44">
        <v>5</v>
      </c>
      <c r="C2" s="44">
        <v>6</v>
      </c>
      <c r="D2" s="44">
        <v>7</v>
      </c>
      <c r="E2" s="44">
        <v>8</v>
      </c>
      <c r="F2" s="44">
        <v>9</v>
      </c>
      <c r="G2" s="44">
        <v>10</v>
      </c>
      <c r="H2" s="44">
        <v>11</v>
      </c>
      <c r="I2" s="44">
        <v>12</v>
      </c>
      <c r="J2" s="44">
        <v>13</v>
      </c>
      <c r="K2" s="44">
        <v>14</v>
      </c>
      <c r="L2" s="44">
        <v>15</v>
      </c>
      <c r="M2" s="44">
        <v>16</v>
      </c>
      <c r="N2" s="44">
        <v>17</v>
      </c>
      <c r="O2" s="44">
        <v>18</v>
      </c>
      <c r="P2" s="44">
        <v>19</v>
      </c>
      <c r="Q2" s="44">
        <v>20</v>
      </c>
      <c r="R2" s="44">
        <v>21</v>
      </c>
      <c r="S2" s="44">
        <v>22</v>
      </c>
      <c r="T2" s="44">
        <v>23</v>
      </c>
      <c r="U2" s="44">
        <v>24</v>
      </c>
      <c r="V2" s="44">
        <v>25</v>
      </c>
      <c r="W2" s="44">
        <v>26</v>
      </c>
      <c r="X2" s="44">
        <v>27</v>
      </c>
      <c r="Y2" s="44" t="s">
        <v>0</v>
      </c>
      <c r="Z2" s="44" t="s">
        <v>1</v>
      </c>
      <c r="AA2" s="44" t="s">
        <v>2</v>
      </c>
      <c r="AB2" s="44" t="s">
        <v>3</v>
      </c>
      <c r="AC2" s="44" t="s">
        <v>4</v>
      </c>
      <c r="AD2" s="83" t="s">
        <v>5</v>
      </c>
    </row>
    <row r="3" spans="1:32" s="2" customFormat="1" x14ac:dyDescent="0.2">
      <c r="A3" s="8" t="s">
        <v>51</v>
      </c>
      <c r="AC3" s="2">
        <f t="shared" ref="AC3:AC66" si="0">SUM(B3:AB3)</f>
        <v>0</v>
      </c>
      <c r="AD3" s="84"/>
    </row>
    <row r="4" spans="1:32" s="2" customFormat="1" x14ac:dyDescent="0.2">
      <c r="A4" s="8" t="s">
        <v>52</v>
      </c>
      <c r="AC4" s="2">
        <f t="shared" si="0"/>
        <v>0</v>
      </c>
      <c r="AD4" s="84"/>
    </row>
    <row r="5" spans="1:32" s="2" customFormat="1" x14ac:dyDescent="0.2">
      <c r="A5" s="8" t="s">
        <v>53</v>
      </c>
      <c r="AC5" s="2">
        <f t="shared" si="0"/>
        <v>0</v>
      </c>
      <c r="AD5" s="84"/>
    </row>
    <row r="6" spans="1:32" s="2" customFormat="1" x14ac:dyDescent="0.2">
      <c r="A6" s="8" t="s">
        <v>54</v>
      </c>
      <c r="AC6" s="2">
        <f t="shared" si="0"/>
        <v>0</v>
      </c>
      <c r="AD6" s="84"/>
    </row>
    <row r="7" spans="1:32" s="2" customFormat="1" x14ac:dyDescent="0.2">
      <c r="A7" s="8" t="s">
        <v>55</v>
      </c>
      <c r="R7" s="2">
        <v>392</v>
      </c>
      <c r="AB7" s="2">
        <v>14</v>
      </c>
      <c r="AC7" s="2">
        <f t="shared" si="0"/>
        <v>406</v>
      </c>
      <c r="AD7" s="84">
        <v>954</v>
      </c>
    </row>
    <row r="8" spans="1:32" s="2" customFormat="1" x14ac:dyDescent="0.2">
      <c r="A8" s="8" t="s">
        <v>56</v>
      </c>
      <c r="E8" s="2">
        <v>57</v>
      </c>
      <c r="R8" s="2">
        <v>359</v>
      </c>
      <c r="AC8" s="2">
        <f t="shared" si="0"/>
        <v>416</v>
      </c>
      <c r="AD8" s="84">
        <v>208</v>
      </c>
    </row>
    <row r="9" spans="1:32" s="2" customFormat="1" x14ac:dyDescent="0.2">
      <c r="A9" s="8" t="s">
        <v>57</v>
      </c>
      <c r="S9" s="2">
        <v>294</v>
      </c>
      <c r="AC9" s="2">
        <f t="shared" si="0"/>
        <v>294</v>
      </c>
      <c r="AD9" s="84">
        <v>954</v>
      </c>
    </row>
    <row r="10" spans="1:32" s="2" customFormat="1" x14ac:dyDescent="0.2">
      <c r="A10" s="8" t="s">
        <v>58</v>
      </c>
      <c r="AC10" s="2">
        <f t="shared" si="0"/>
        <v>0</v>
      </c>
      <c r="AD10" s="84"/>
    </row>
    <row r="11" spans="1:32" s="2" customFormat="1" x14ac:dyDescent="0.2">
      <c r="A11" s="8" t="s">
        <v>59</v>
      </c>
      <c r="U11" s="2">
        <v>27</v>
      </c>
      <c r="AC11" s="2">
        <f t="shared" si="0"/>
        <v>27</v>
      </c>
      <c r="AD11" s="84"/>
    </row>
    <row r="12" spans="1:32" s="4" customFormat="1" x14ac:dyDescent="0.2">
      <c r="A12" s="9" t="s">
        <v>84</v>
      </c>
      <c r="AC12" s="4">
        <f t="shared" si="0"/>
        <v>0</v>
      </c>
      <c r="AD12" s="85">
        <v>313</v>
      </c>
    </row>
    <row r="13" spans="1:32" s="4" customFormat="1" x14ac:dyDescent="0.2">
      <c r="A13" s="9"/>
      <c r="AD13" s="85"/>
    </row>
    <row r="14" spans="1:32" s="4" customFormat="1" ht="13.5" customHeight="1" x14ac:dyDescent="0.2">
      <c r="A14" s="9" t="s">
        <v>85</v>
      </c>
      <c r="Z14" s="4">
        <v>1644</v>
      </c>
      <c r="AC14" s="4">
        <f t="shared" si="0"/>
        <v>1644</v>
      </c>
      <c r="AD14" s="85">
        <v>673</v>
      </c>
    </row>
    <row r="15" spans="1:32" s="4" customFormat="1" x14ac:dyDescent="0.2">
      <c r="A15" s="9" t="s">
        <v>86</v>
      </c>
      <c r="J15" s="4">
        <v>54</v>
      </c>
      <c r="AC15" s="4">
        <f t="shared" si="0"/>
        <v>54</v>
      </c>
      <c r="AD15" s="85">
        <v>40</v>
      </c>
    </row>
    <row r="16" spans="1:32" s="4" customFormat="1" x14ac:dyDescent="0.2">
      <c r="A16" s="9" t="s">
        <v>87</v>
      </c>
      <c r="D16" s="4">
        <v>9</v>
      </c>
      <c r="E16" s="4">
        <v>66</v>
      </c>
      <c r="AC16" s="4">
        <f t="shared" si="0"/>
        <v>75</v>
      </c>
      <c r="AD16" s="85">
        <v>92</v>
      </c>
    </row>
    <row r="17" spans="1:30" s="4" customFormat="1" x14ac:dyDescent="0.2">
      <c r="A17" s="9" t="s">
        <v>88</v>
      </c>
      <c r="P17" s="4">
        <v>55</v>
      </c>
      <c r="Q17" s="4">
        <v>65</v>
      </c>
      <c r="U17" s="4">
        <v>90</v>
      </c>
      <c r="V17" s="4">
        <v>58</v>
      </c>
      <c r="AA17" s="4">
        <v>5</v>
      </c>
      <c r="AC17" s="4">
        <f t="shared" si="0"/>
        <v>273</v>
      </c>
      <c r="AD17" s="85">
        <v>228</v>
      </c>
    </row>
    <row r="18" spans="1:30" s="4" customFormat="1" x14ac:dyDescent="0.2">
      <c r="A18" s="9" t="s">
        <v>89</v>
      </c>
      <c r="AC18" s="4">
        <f t="shared" si="0"/>
        <v>0</v>
      </c>
      <c r="AD18" s="85">
        <v>48</v>
      </c>
    </row>
    <row r="19" spans="1:30" s="4" customFormat="1" x14ac:dyDescent="0.2">
      <c r="A19" s="9" t="s">
        <v>90</v>
      </c>
      <c r="E19" s="4">
        <v>1162</v>
      </c>
      <c r="K19" s="4">
        <v>688</v>
      </c>
      <c r="P19" s="4">
        <v>266</v>
      </c>
      <c r="U19" s="4">
        <v>10</v>
      </c>
      <c r="AB19" s="4">
        <v>126</v>
      </c>
      <c r="AC19" s="4">
        <f t="shared" si="0"/>
        <v>2252</v>
      </c>
      <c r="AD19" s="85">
        <v>1797</v>
      </c>
    </row>
    <row r="20" spans="1:30" s="4" customFormat="1" x14ac:dyDescent="0.2">
      <c r="A20" s="9" t="s">
        <v>91</v>
      </c>
      <c r="E20" s="4">
        <v>300</v>
      </c>
      <c r="H20" s="4">
        <v>60</v>
      </c>
      <c r="K20" s="4">
        <v>79</v>
      </c>
      <c r="L20" s="4">
        <v>22</v>
      </c>
      <c r="M20" s="4">
        <v>245</v>
      </c>
      <c r="AC20" s="4">
        <v>830</v>
      </c>
      <c r="AD20" s="85">
        <v>142</v>
      </c>
    </row>
    <row r="21" spans="1:30" s="4" customFormat="1" x14ac:dyDescent="0.2">
      <c r="A21" s="9" t="s">
        <v>92</v>
      </c>
      <c r="AC21" s="4">
        <v>4000</v>
      </c>
      <c r="AD21" s="85">
        <v>858</v>
      </c>
    </row>
    <row r="22" spans="1:30" s="4" customFormat="1" x14ac:dyDescent="0.2">
      <c r="A22" s="9" t="s">
        <v>93</v>
      </c>
      <c r="X22" s="4">
        <v>39</v>
      </c>
      <c r="Z22" s="4">
        <v>776</v>
      </c>
      <c r="AC22" s="4">
        <f t="shared" si="0"/>
        <v>815</v>
      </c>
      <c r="AD22" s="85">
        <v>43</v>
      </c>
    </row>
    <row r="23" spans="1:30" s="25" customFormat="1" x14ac:dyDescent="0.2">
      <c r="A23" s="86" t="s">
        <v>94</v>
      </c>
      <c r="AC23" s="25">
        <f t="shared" si="0"/>
        <v>0</v>
      </c>
      <c r="AD23" s="87"/>
    </row>
    <row r="24" spans="1:30" s="25" customFormat="1" x14ac:dyDescent="0.2">
      <c r="A24" s="86" t="s">
        <v>95</v>
      </c>
      <c r="AC24" s="25">
        <f t="shared" si="0"/>
        <v>0</v>
      </c>
      <c r="AD24" s="87"/>
    </row>
    <row r="25" spans="1:30" s="25" customFormat="1" x14ac:dyDescent="0.2">
      <c r="A25" s="86" t="s">
        <v>96</v>
      </c>
      <c r="AC25" s="25">
        <f t="shared" si="0"/>
        <v>0</v>
      </c>
      <c r="AD25" s="87"/>
    </row>
    <row r="26" spans="1:30" s="25" customFormat="1" x14ac:dyDescent="0.2">
      <c r="A26" s="86" t="s">
        <v>97</v>
      </c>
      <c r="AC26" s="25">
        <f t="shared" si="0"/>
        <v>0</v>
      </c>
      <c r="AD26" s="87"/>
    </row>
    <row r="27" spans="1:30" s="25" customFormat="1" x14ac:dyDescent="0.2">
      <c r="A27" s="86" t="s">
        <v>98</v>
      </c>
      <c r="AC27" s="25">
        <f t="shared" si="0"/>
        <v>0</v>
      </c>
      <c r="AD27" s="87"/>
    </row>
    <row r="28" spans="1:30" s="25" customFormat="1" x14ac:dyDescent="0.2">
      <c r="A28" s="86" t="s">
        <v>99</v>
      </c>
      <c r="AC28" s="25">
        <f t="shared" si="0"/>
        <v>0</v>
      </c>
      <c r="AD28" s="87"/>
    </row>
    <row r="29" spans="1:30" s="25" customFormat="1" x14ac:dyDescent="0.2">
      <c r="A29" s="86" t="s">
        <v>100</v>
      </c>
      <c r="AC29" s="25">
        <f t="shared" si="0"/>
        <v>0</v>
      </c>
      <c r="AD29" s="87"/>
    </row>
    <row r="30" spans="1:30" s="25" customFormat="1" x14ac:dyDescent="0.2">
      <c r="A30" s="86" t="s">
        <v>101</v>
      </c>
      <c r="AC30" s="25">
        <f t="shared" si="0"/>
        <v>0</v>
      </c>
      <c r="AD30" s="87"/>
    </row>
    <row r="31" spans="1:30" s="25" customFormat="1" x14ac:dyDescent="0.2">
      <c r="A31" s="86" t="s">
        <v>102</v>
      </c>
      <c r="AC31" s="25">
        <f t="shared" si="0"/>
        <v>0</v>
      </c>
      <c r="AD31" s="87"/>
    </row>
    <row r="32" spans="1:30" s="25" customFormat="1" x14ac:dyDescent="0.2">
      <c r="A32" s="86" t="s">
        <v>103</v>
      </c>
      <c r="I32" s="25">
        <v>55</v>
      </c>
      <c r="AC32" s="25">
        <f t="shared" si="0"/>
        <v>55</v>
      </c>
      <c r="AD32" s="87">
        <v>22</v>
      </c>
    </row>
    <row r="33" spans="1:30" s="25" customFormat="1" x14ac:dyDescent="0.2">
      <c r="A33" s="86" t="s">
        <v>104</v>
      </c>
      <c r="AC33" s="25">
        <f t="shared" si="0"/>
        <v>0</v>
      </c>
      <c r="AD33" s="87">
        <v>65</v>
      </c>
    </row>
    <row r="34" spans="1:30" s="5" customFormat="1" x14ac:dyDescent="0.2">
      <c r="A34" s="10" t="s">
        <v>105</v>
      </c>
      <c r="V34" s="5">
        <v>17</v>
      </c>
      <c r="AC34" s="5">
        <f t="shared" si="0"/>
        <v>17</v>
      </c>
      <c r="AD34" s="88"/>
    </row>
    <row r="35" spans="1:30" s="5" customFormat="1" x14ac:dyDescent="0.2">
      <c r="A35" s="10" t="s">
        <v>106</v>
      </c>
      <c r="AC35" s="5">
        <f t="shared" si="0"/>
        <v>0</v>
      </c>
      <c r="AD35" s="88"/>
    </row>
    <row r="36" spans="1:30" s="5" customFormat="1" x14ac:dyDescent="0.2">
      <c r="A36" s="10" t="s">
        <v>107</v>
      </c>
      <c r="AC36" s="5">
        <f t="shared" si="0"/>
        <v>0</v>
      </c>
      <c r="AD36" s="88"/>
    </row>
    <row r="37" spans="1:30" s="5" customFormat="1" x14ac:dyDescent="0.2">
      <c r="A37" s="10" t="s">
        <v>108</v>
      </c>
      <c r="W37" s="5">
        <v>43</v>
      </c>
      <c r="Y37" s="5">
        <v>18</v>
      </c>
      <c r="AC37" s="5">
        <f t="shared" si="0"/>
        <v>61</v>
      </c>
      <c r="AD37" s="88"/>
    </row>
    <row r="38" spans="1:30" s="5" customFormat="1" x14ac:dyDescent="0.2">
      <c r="A38" s="10" t="s">
        <v>109</v>
      </c>
      <c r="D38" s="5">
        <v>52</v>
      </c>
      <c r="K38" s="5">
        <v>6</v>
      </c>
      <c r="AA38" s="5">
        <v>72</v>
      </c>
      <c r="AC38" s="5">
        <f t="shared" si="0"/>
        <v>130</v>
      </c>
      <c r="AD38" s="88"/>
    </row>
    <row r="39" spans="1:30" s="2" customFormat="1" x14ac:dyDescent="0.2">
      <c r="A39" s="8" t="s">
        <v>110</v>
      </c>
      <c r="AC39" s="2">
        <f t="shared" si="0"/>
        <v>0</v>
      </c>
      <c r="AD39" s="84"/>
    </row>
    <row r="40" spans="1:30" s="2" customFormat="1" x14ac:dyDescent="0.2">
      <c r="A40" s="8" t="s">
        <v>111</v>
      </c>
      <c r="AC40" s="2">
        <f t="shared" si="0"/>
        <v>0</v>
      </c>
      <c r="AD40" s="84"/>
    </row>
    <row r="41" spans="1:30" s="2" customFormat="1" x14ac:dyDescent="0.2">
      <c r="A41" s="8" t="s">
        <v>112</v>
      </c>
      <c r="AC41" s="2">
        <f t="shared" si="0"/>
        <v>0</v>
      </c>
      <c r="AD41" s="84"/>
    </row>
    <row r="42" spans="1:30" s="2" customFormat="1" x14ac:dyDescent="0.2">
      <c r="A42" s="8" t="s">
        <v>113</v>
      </c>
      <c r="AC42" s="2">
        <f t="shared" si="0"/>
        <v>0</v>
      </c>
      <c r="AD42" s="84"/>
    </row>
    <row r="43" spans="1:30" s="2" customFormat="1" x14ac:dyDescent="0.2">
      <c r="A43" s="8" t="s">
        <v>114</v>
      </c>
      <c r="AC43" s="2">
        <f t="shared" si="0"/>
        <v>0</v>
      </c>
      <c r="AD43" s="84"/>
    </row>
    <row r="44" spans="1:30" s="2" customFormat="1" x14ac:dyDescent="0.2">
      <c r="A44" s="8" t="s">
        <v>115</v>
      </c>
      <c r="AC44" s="2">
        <f t="shared" si="0"/>
        <v>0</v>
      </c>
      <c r="AD44" s="84"/>
    </row>
    <row r="45" spans="1:30" s="2" customFormat="1" x14ac:dyDescent="0.2">
      <c r="A45" s="8" t="s">
        <v>116</v>
      </c>
      <c r="AC45" s="2">
        <f t="shared" si="0"/>
        <v>0</v>
      </c>
      <c r="AD45" s="84"/>
    </row>
    <row r="46" spans="1:30" s="2" customFormat="1" x14ac:dyDescent="0.2">
      <c r="A46" s="8" t="s">
        <v>117</v>
      </c>
      <c r="AC46" s="2">
        <f t="shared" si="0"/>
        <v>0</v>
      </c>
      <c r="AD46" s="84"/>
    </row>
    <row r="47" spans="1:30" s="2" customFormat="1" x14ac:dyDescent="0.2">
      <c r="A47" s="8" t="s">
        <v>118</v>
      </c>
      <c r="AC47" s="2">
        <f t="shared" si="0"/>
        <v>0</v>
      </c>
      <c r="AD47" s="84"/>
    </row>
    <row r="48" spans="1:30" s="2" customFormat="1" x14ac:dyDescent="0.2">
      <c r="A48" s="8" t="s">
        <v>119</v>
      </c>
      <c r="AC48" s="2">
        <f t="shared" si="0"/>
        <v>0</v>
      </c>
      <c r="AD48" s="84"/>
    </row>
    <row r="49" spans="1:30" s="2" customFormat="1" x14ac:dyDescent="0.2">
      <c r="A49" s="8" t="s">
        <v>120</v>
      </c>
      <c r="AC49" s="2">
        <f t="shared" si="0"/>
        <v>0</v>
      </c>
      <c r="AD49" s="84"/>
    </row>
    <row r="50" spans="1:30" s="2" customFormat="1" x14ac:dyDescent="0.2">
      <c r="A50" s="8" t="s">
        <v>121</v>
      </c>
      <c r="AC50" s="2">
        <f t="shared" si="0"/>
        <v>0</v>
      </c>
      <c r="AD50" s="84"/>
    </row>
    <row r="51" spans="1:30" s="2" customFormat="1" x14ac:dyDescent="0.2">
      <c r="A51" s="8" t="s">
        <v>122</v>
      </c>
      <c r="AC51" s="2">
        <f t="shared" si="0"/>
        <v>0</v>
      </c>
      <c r="AD51" s="84"/>
    </row>
    <row r="52" spans="1:30" s="4" customFormat="1" x14ac:dyDescent="0.2">
      <c r="A52" s="9" t="s">
        <v>123</v>
      </c>
      <c r="F52" s="4">
        <v>2286</v>
      </c>
      <c r="AC52" s="4">
        <f t="shared" si="0"/>
        <v>2286</v>
      </c>
      <c r="AD52" s="85">
        <v>2632</v>
      </c>
    </row>
    <row r="53" spans="1:30" s="4" customFormat="1" x14ac:dyDescent="0.2">
      <c r="A53" s="9" t="s">
        <v>124</v>
      </c>
      <c r="AC53" s="4">
        <f t="shared" si="0"/>
        <v>0</v>
      </c>
      <c r="AD53" s="85"/>
    </row>
    <row r="54" spans="1:30" s="4" customFormat="1" x14ac:dyDescent="0.2">
      <c r="A54" s="9" t="s">
        <v>125</v>
      </c>
      <c r="AC54" s="4">
        <f t="shared" si="0"/>
        <v>0</v>
      </c>
      <c r="AD54" s="85"/>
    </row>
    <row r="55" spans="1:30" s="4" customFormat="1" x14ac:dyDescent="0.2">
      <c r="A55" s="9" t="s">
        <v>126</v>
      </c>
      <c r="AC55" s="4">
        <f t="shared" si="0"/>
        <v>0</v>
      </c>
      <c r="AD55" s="85"/>
    </row>
    <row r="56" spans="1:30" s="4" customFormat="1" x14ac:dyDescent="0.2">
      <c r="A56" s="9" t="s">
        <v>127</v>
      </c>
      <c r="AC56" s="4">
        <f t="shared" si="0"/>
        <v>0</v>
      </c>
      <c r="AD56" s="85"/>
    </row>
    <row r="57" spans="1:30" s="4" customFormat="1" x14ac:dyDescent="0.2">
      <c r="A57" s="9" t="s">
        <v>128</v>
      </c>
      <c r="AC57" s="4">
        <f t="shared" si="0"/>
        <v>0</v>
      </c>
      <c r="AD57" s="85"/>
    </row>
    <row r="58" spans="1:30" s="4" customFormat="1" x14ac:dyDescent="0.2">
      <c r="A58" s="9" t="s">
        <v>129</v>
      </c>
      <c r="AC58" s="4">
        <f t="shared" si="0"/>
        <v>0</v>
      </c>
      <c r="AD58" s="85"/>
    </row>
    <row r="59" spans="1:30" s="4" customFormat="1" x14ac:dyDescent="0.2">
      <c r="A59" s="9" t="s">
        <v>130</v>
      </c>
      <c r="Y59" s="4">
        <v>78</v>
      </c>
      <c r="AC59" s="4">
        <f t="shared" si="0"/>
        <v>78</v>
      </c>
      <c r="AD59" s="85"/>
    </row>
    <row r="60" spans="1:30" s="4" customFormat="1" x14ac:dyDescent="0.2">
      <c r="A60" s="9" t="s">
        <v>131</v>
      </c>
      <c r="Z60" s="4">
        <v>140</v>
      </c>
      <c r="AA60" s="4">
        <v>16</v>
      </c>
      <c r="AC60" s="4">
        <f t="shared" si="0"/>
        <v>156</v>
      </c>
      <c r="AD60" s="85"/>
    </row>
    <row r="61" spans="1:30" s="4" customFormat="1" x14ac:dyDescent="0.2">
      <c r="A61" s="9" t="s">
        <v>132</v>
      </c>
      <c r="AA61" s="4">
        <v>84</v>
      </c>
      <c r="AC61" s="4">
        <f t="shared" si="0"/>
        <v>84</v>
      </c>
      <c r="AD61" s="85"/>
    </row>
    <row r="62" spans="1:30" s="4" customFormat="1" x14ac:dyDescent="0.2">
      <c r="A62" s="9" t="s">
        <v>133</v>
      </c>
      <c r="AC62" s="4">
        <f t="shared" si="0"/>
        <v>0</v>
      </c>
      <c r="AD62" s="85"/>
    </row>
    <row r="63" spans="1:30" s="4" customFormat="1" x14ac:dyDescent="0.2">
      <c r="A63" s="9" t="s">
        <v>134</v>
      </c>
      <c r="AC63" s="4">
        <f t="shared" si="0"/>
        <v>0</v>
      </c>
      <c r="AD63" s="85"/>
    </row>
    <row r="64" spans="1:30" s="4" customFormat="1" x14ac:dyDescent="0.2">
      <c r="A64" s="9" t="s">
        <v>135</v>
      </c>
      <c r="X64" s="4">
        <v>31</v>
      </c>
      <c r="AC64" s="4">
        <f t="shared" si="0"/>
        <v>31</v>
      </c>
      <c r="AD64" s="85"/>
    </row>
    <row r="65" spans="1:30" s="4" customFormat="1" x14ac:dyDescent="0.2">
      <c r="A65" s="9" t="s">
        <v>136</v>
      </c>
      <c r="AC65" s="4">
        <f t="shared" si="0"/>
        <v>0</v>
      </c>
      <c r="AD65" s="85"/>
    </row>
    <row r="66" spans="1:30" s="4" customFormat="1" x14ac:dyDescent="0.2">
      <c r="A66" s="9" t="s">
        <v>137</v>
      </c>
      <c r="Z66" s="4">
        <v>102</v>
      </c>
      <c r="AC66" s="4">
        <f t="shared" si="0"/>
        <v>102</v>
      </c>
      <c r="AD66" s="85">
        <v>73</v>
      </c>
    </row>
    <row r="67" spans="1:30" s="4" customFormat="1" x14ac:dyDescent="0.2">
      <c r="A67" s="9" t="s">
        <v>138</v>
      </c>
      <c r="AC67" s="4">
        <f t="shared" ref="AC67:AC95" si="1">SUM(B67:AB67)</f>
        <v>0</v>
      </c>
      <c r="AD67" s="85"/>
    </row>
    <row r="68" spans="1:30" s="4" customFormat="1" x14ac:dyDescent="0.2">
      <c r="A68" s="9" t="s">
        <v>139</v>
      </c>
      <c r="AC68" s="4">
        <f t="shared" si="1"/>
        <v>0</v>
      </c>
      <c r="AD68" s="85"/>
    </row>
    <row r="69" spans="1:30" s="4" customFormat="1" x14ac:dyDescent="0.2">
      <c r="A69" s="9" t="s">
        <v>140</v>
      </c>
      <c r="AC69" s="4">
        <f t="shared" si="1"/>
        <v>0</v>
      </c>
      <c r="AD69" s="85"/>
    </row>
    <row r="70" spans="1:30" s="4" customFormat="1" x14ac:dyDescent="0.2">
      <c r="A70" s="9" t="s">
        <v>141</v>
      </c>
      <c r="AC70" s="4">
        <f t="shared" si="1"/>
        <v>0</v>
      </c>
      <c r="AD70" s="85"/>
    </row>
    <row r="71" spans="1:30" s="4" customFormat="1" x14ac:dyDescent="0.2">
      <c r="A71" s="9" t="s">
        <v>142</v>
      </c>
      <c r="AC71" s="4">
        <f t="shared" si="1"/>
        <v>0</v>
      </c>
      <c r="AD71" s="85"/>
    </row>
    <row r="72" spans="1:30" s="4" customFormat="1" x14ac:dyDescent="0.2">
      <c r="A72" s="9" t="s">
        <v>143</v>
      </c>
      <c r="AC72" s="4">
        <f t="shared" si="1"/>
        <v>0</v>
      </c>
      <c r="AD72" s="85"/>
    </row>
    <row r="73" spans="1:30" s="4" customFormat="1" x14ac:dyDescent="0.2">
      <c r="A73" s="9" t="s">
        <v>144</v>
      </c>
      <c r="AC73" s="4">
        <f t="shared" si="1"/>
        <v>0</v>
      </c>
      <c r="AD73" s="85"/>
    </row>
    <row r="74" spans="1:30" s="4" customFormat="1" x14ac:dyDescent="0.2">
      <c r="A74" s="9" t="s">
        <v>145</v>
      </c>
      <c r="E74" s="4">
        <v>126</v>
      </c>
      <c r="J74" s="4">
        <v>103</v>
      </c>
      <c r="Q74" s="4">
        <v>50</v>
      </c>
      <c r="Y74" s="4">
        <v>27</v>
      </c>
      <c r="AC74" s="4">
        <f t="shared" si="1"/>
        <v>306</v>
      </c>
      <c r="AD74" s="85">
        <v>50</v>
      </c>
    </row>
    <row r="75" spans="1:30" s="4" customFormat="1" x14ac:dyDescent="0.2">
      <c r="A75" s="9" t="s">
        <v>146</v>
      </c>
      <c r="AC75" s="4">
        <f t="shared" si="1"/>
        <v>0</v>
      </c>
      <c r="AD75" s="85">
        <v>69</v>
      </c>
    </row>
    <row r="76" spans="1:30" s="4" customFormat="1" x14ac:dyDescent="0.2">
      <c r="A76" s="9" t="s">
        <v>147</v>
      </c>
      <c r="AC76" s="4">
        <f t="shared" si="1"/>
        <v>0</v>
      </c>
      <c r="AD76" s="85"/>
    </row>
    <row r="77" spans="1:30" s="4" customFormat="1" x14ac:dyDescent="0.2">
      <c r="A77" s="9" t="s">
        <v>148</v>
      </c>
      <c r="AC77" s="4">
        <f t="shared" si="1"/>
        <v>0</v>
      </c>
      <c r="AD77" s="85"/>
    </row>
    <row r="78" spans="1:30" s="4" customFormat="1" x14ac:dyDescent="0.2">
      <c r="A78" s="9" t="s">
        <v>149</v>
      </c>
      <c r="AC78" s="4">
        <f t="shared" si="1"/>
        <v>0</v>
      </c>
      <c r="AD78" s="85"/>
    </row>
    <row r="79" spans="1:30" s="4" customFormat="1" x14ac:dyDescent="0.2">
      <c r="A79" s="9" t="s">
        <v>150</v>
      </c>
      <c r="AC79" s="4">
        <f t="shared" si="1"/>
        <v>0</v>
      </c>
      <c r="AD79" s="85"/>
    </row>
    <row r="80" spans="1:30" s="4" customFormat="1" x14ac:dyDescent="0.2">
      <c r="A80" s="9" t="s">
        <v>151</v>
      </c>
      <c r="AC80" s="4">
        <f t="shared" si="1"/>
        <v>0</v>
      </c>
      <c r="AD80" s="85"/>
    </row>
    <row r="81" spans="1:30" s="4" customFormat="1" x14ac:dyDescent="0.2">
      <c r="A81" s="9" t="s">
        <v>152</v>
      </c>
      <c r="AC81" s="4">
        <f t="shared" si="1"/>
        <v>0</v>
      </c>
      <c r="AD81" s="85"/>
    </row>
    <row r="82" spans="1:30" s="4" customFormat="1" x14ac:dyDescent="0.2">
      <c r="A82" s="9" t="s">
        <v>153</v>
      </c>
      <c r="AC82" s="4">
        <f t="shared" si="1"/>
        <v>0</v>
      </c>
      <c r="AD82" s="85"/>
    </row>
    <row r="83" spans="1:30" s="4" customFormat="1" x14ac:dyDescent="0.2">
      <c r="A83" s="9" t="s">
        <v>154</v>
      </c>
      <c r="AC83" s="4">
        <f t="shared" si="1"/>
        <v>0</v>
      </c>
      <c r="AD83" s="85"/>
    </row>
    <row r="84" spans="1:30" s="4" customFormat="1" x14ac:dyDescent="0.2">
      <c r="A84" s="9" t="s">
        <v>155</v>
      </c>
      <c r="AC84" s="4">
        <f t="shared" si="1"/>
        <v>0</v>
      </c>
      <c r="AD84" s="85"/>
    </row>
    <row r="85" spans="1:30" s="4" customFormat="1" x14ac:dyDescent="0.2">
      <c r="A85" s="9" t="s">
        <v>156</v>
      </c>
      <c r="AC85" s="4">
        <f t="shared" si="1"/>
        <v>0</v>
      </c>
      <c r="AD85" s="85"/>
    </row>
    <row r="86" spans="1:30" s="4" customFormat="1" x14ac:dyDescent="0.2">
      <c r="A86" s="9" t="s">
        <v>157</v>
      </c>
      <c r="AC86" s="4">
        <f t="shared" si="1"/>
        <v>0</v>
      </c>
      <c r="AD86" s="85"/>
    </row>
    <row r="87" spans="1:30" s="4" customFormat="1" x14ac:dyDescent="0.2">
      <c r="A87" s="9" t="s">
        <v>158</v>
      </c>
      <c r="AC87" s="4">
        <f t="shared" si="1"/>
        <v>0</v>
      </c>
      <c r="AD87" s="85"/>
    </row>
    <row r="88" spans="1:30" s="4" customFormat="1" x14ac:dyDescent="0.2">
      <c r="A88" s="9" t="s">
        <v>159</v>
      </c>
      <c r="AC88" s="4">
        <f t="shared" si="1"/>
        <v>0</v>
      </c>
      <c r="AD88" s="85"/>
    </row>
    <row r="89" spans="1:30" s="4" customFormat="1" x14ac:dyDescent="0.2">
      <c r="A89" s="9" t="s">
        <v>160</v>
      </c>
      <c r="AC89" s="4">
        <f t="shared" si="1"/>
        <v>0</v>
      </c>
      <c r="AD89" s="85">
        <v>178</v>
      </c>
    </row>
    <row r="90" spans="1:30" s="4" customFormat="1" x14ac:dyDescent="0.2">
      <c r="A90" s="9" t="s">
        <v>161</v>
      </c>
      <c r="AC90" s="4">
        <f t="shared" si="1"/>
        <v>0</v>
      </c>
      <c r="AD90" s="85"/>
    </row>
    <row r="91" spans="1:30" s="4" customFormat="1" x14ac:dyDescent="0.2">
      <c r="A91" s="9" t="s">
        <v>162</v>
      </c>
      <c r="K91" s="4">
        <v>161</v>
      </c>
      <c r="AC91" s="4">
        <f t="shared" si="1"/>
        <v>161</v>
      </c>
      <c r="AD91" s="85"/>
    </row>
    <row r="92" spans="1:30" s="4" customFormat="1" x14ac:dyDescent="0.2">
      <c r="A92" s="9" t="s">
        <v>163</v>
      </c>
      <c r="AC92" s="4">
        <f t="shared" si="1"/>
        <v>0</v>
      </c>
      <c r="AD92" s="85"/>
    </row>
    <row r="93" spans="1:30" s="4" customFormat="1" x14ac:dyDescent="0.2">
      <c r="A93" s="9" t="s">
        <v>164</v>
      </c>
      <c r="AC93" s="4">
        <f t="shared" si="1"/>
        <v>0</v>
      </c>
      <c r="AD93" s="85"/>
    </row>
    <row r="94" spans="1:30" s="4" customFormat="1" x14ac:dyDescent="0.2">
      <c r="A94" s="9" t="s">
        <v>165</v>
      </c>
      <c r="AC94" s="4">
        <f t="shared" si="1"/>
        <v>0</v>
      </c>
      <c r="AD94" s="85"/>
    </row>
    <row r="95" spans="1:30" s="4" customFormat="1" x14ac:dyDescent="0.2">
      <c r="A95" s="9" t="s">
        <v>166</v>
      </c>
      <c r="Y95" s="4">
        <v>6</v>
      </c>
      <c r="AC95" s="4">
        <f t="shared" si="1"/>
        <v>6</v>
      </c>
      <c r="AD95" s="85"/>
    </row>
    <row r="96" spans="1:30" x14ac:dyDescent="0.2"/>
  </sheetData>
  <mergeCells count="1">
    <mergeCell ref="A1:A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444E-75FF-406E-B102-075511EB3450}">
  <dimension ref="A1:Y187"/>
  <sheetViews>
    <sheetView workbookViewId="0">
      <selection activeCell="A188" sqref="A188:XFD204"/>
    </sheetView>
  </sheetViews>
  <sheetFormatPr defaultColWidth="0" defaultRowHeight="15" zeroHeight="1" x14ac:dyDescent="0.2"/>
  <cols>
    <col min="1" max="1" width="4.83984375" style="7" bestFit="1" customWidth="1"/>
    <col min="2" max="2" width="13.046875" style="7" bestFit="1" customWidth="1"/>
    <col min="3" max="3" width="29.7265625" style="7" bestFit="1" customWidth="1"/>
    <col min="4" max="4" width="29.7265625" style="7" customWidth="1"/>
    <col min="5" max="5" width="10.89453125" style="24" customWidth="1"/>
    <col min="6" max="6" width="0" hidden="1" customWidth="1"/>
  </cols>
  <sheetData>
    <row r="1" spans="1:25" s="13" customFormat="1" ht="21" x14ac:dyDescent="0.3">
      <c r="A1" s="113" t="s">
        <v>821</v>
      </c>
      <c r="B1" s="119"/>
      <c r="C1" s="119"/>
      <c r="D1" s="119"/>
      <c r="E1" s="120"/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s="47" customFormat="1" x14ac:dyDescent="0.2">
      <c r="A2" s="45" t="s">
        <v>813</v>
      </c>
      <c r="B2" s="45" t="s">
        <v>814</v>
      </c>
      <c r="C2" s="45" t="s">
        <v>168</v>
      </c>
      <c r="D2" s="45" t="s">
        <v>419</v>
      </c>
      <c r="E2" s="46" t="s">
        <v>169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spans="1:25" s="42" customFormat="1" x14ac:dyDescent="0.2">
      <c r="A3" s="40">
        <v>53</v>
      </c>
      <c r="B3" s="40" t="s">
        <v>170</v>
      </c>
      <c r="C3" s="40" t="s">
        <v>171</v>
      </c>
      <c r="D3" s="40"/>
      <c r="E3" s="48">
        <v>2</v>
      </c>
      <c r="F3" s="49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s="42" customFormat="1" x14ac:dyDescent="0.2">
      <c r="A4" s="40">
        <v>53</v>
      </c>
      <c r="B4" s="40" t="s">
        <v>172</v>
      </c>
      <c r="C4" s="40" t="s">
        <v>171</v>
      </c>
      <c r="D4" s="40"/>
      <c r="E4" s="48">
        <v>3</v>
      </c>
    </row>
    <row r="5" spans="1:25" s="42" customFormat="1" x14ac:dyDescent="0.2">
      <c r="A5" s="40">
        <v>53</v>
      </c>
      <c r="B5" s="40" t="s">
        <v>173</v>
      </c>
      <c r="C5" s="40" t="s">
        <v>171</v>
      </c>
      <c r="D5" s="40"/>
      <c r="E5" s="48">
        <v>3</v>
      </c>
    </row>
    <row r="6" spans="1:25" s="42" customFormat="1" x14ac:dyDescent="0.2">
      <c r="A6" s="40">
        <v>53</v>
      </c>
      <c r="B6" s="40" t="s">
        <v>174</v>
      </c>
      <c r="C6" s="40" t="s">
        <v>175</v>
      </c>
      <c r="D6" s="40"/>
      <c r="E6" s="48">
        <v>8</v>
      </c>
    </row>
    <row r="7" spans="1:25" s="42" customFormat="1" x14ac:dyDescent="0.2">
      <c r="A7" s="40">
        <v>53</v>
      </c>
      <c r="B7" s="40" t="s">
        <v>176</v>
      </c>
      <c r="C7" s="40" t="s">
        <v>177</v>
      </c>
      <c r="D7" s="40" t="s">
        <v>831</v>
      </c>
      <c r="E7" s="48">
        <v>5</v>
      </c>
    </row>
    <row r="8" spans="1:25" s="42" customFormat="1" x14ac:dyDescent="0.2">
      <c r="A8" s="40">
        <v>53</v>
      </c>
      <c r="B8" s="40" t="s">
        <v>178</v>
      </c>
      <c r="C8" s="40" t="s">
        <v>179</v>
      </c>
      <c r="D8" s="40" t="s">
        <v>831</v>
      </c>
      <c r="E8" s="48">
        <v>15</v>
      </c>
    </row>
    <row r="9" spans="1:25" s="42" customFormat="1" x14ac:dyDescent="0.2">
      <c r="A9" s="40">
        <v>53</v>
      </c>
      <c r="B9" s="40" t="s">
        <v>180</v>
      </c>
      <c r="C9" s="40" t="s">
        <v>181</v>
      </c>
      <c r="D9" s="40" t="s">
        <v>831</v>
      </c>
      <c r="E9" s="48">
        <v>26</v>
      </c>
    </row>
    <row r="10" spans="1:25" s="42" customFormat="1" x14ac:dyDescent="0.2">
      <c r="A10" s="40">
        <v>53</v>
      </c>
      <c r="B10" s="40" t="s">
        <v>182</v>
      </c>
      <c r="C10" s="40" t="s">
        <v>183</v>
      </c>
      <c r="D10" s="40" t="s">
        <v>831</v>
      </c>
      <c r="E10" s="48">
        <v>27</v>
      </c>
    </row>
    <row r="11" spans="1:25" s="42" customFormat="1" x14ac:dyDescent="0.2">
      <c r="A11" s="40">
        <v>53</v>
      </c>
      <c r="B11" s="40" t="s">
        <v>184</v>
      </c>
      <c r="C11" s="40" t="s">
        <v>185</v>
      </c>
      <c r="D11" s="40" t="s">
        <v>831</v>
      </c>
      <c r="E11" s="48">
        <v>1</v>
      </c>
    </row>
    <row r="12" spans="1:25" s="42" customFormat="1" x14ac:dyDescent="0.2">
      <c r="A12" s="40">
        <v>53</v>
      </c>
      <c r="B12" s="40" t="s">
        <v>188</v>
      </c>
      <c r="C12" s="40" t="s">
        <v>189</v>
      </c>
      <c r="D12" s="40" t="s">
        <v>832</v>
      </c>
      <c r="E12" s="48">
        <v>25</v>
      </c>
    </row>
    <row r="13" spans="1:25" s="42" customFormat="1" x14ac:dyDescent="0.2">
      <c r="A13" s="40">
        <v>53</v>
      </c>
      <c r="B13" s="40" t="s">
        <v>190</v>
      </c>
      <c r="C13" s="40" t="s">
        <v>191</v>
      </c>
      <c r="D13" s="40"/>
      <c r="E13" s="48">
        <v>4</v>
      </c>
    </row>
    <row r="14" spans="1:25" s="42" customFormat="1" x14ac:dyDescent="0.2">
      <c r="A14" s="40">
        <v>53</v>
      </c>
      <c r="B14" s="40" t="s">
        <v>192</v>
      </c>
      <c r="C14" s="40" t="s">
        <v>193</v>
      </c>
      <c r="D14" s="40"/>
      <c r="E14" s="48">
        <v>28</v>
      </c>
    </row>
    <row r="15" spans="1:25" s="42" customFormat="1" x14ac:dyDescent="0.2">
      <c r="A15" s="40">
        <v>53</v>
      </c>
      <c r="B15" s="40" t="s">
        <v>194</v>
      </c>
      <c r="C15" s="40" t="s">
        <v>181</v>
      </c>
      <c r="D15" s="40"/>
      <c r="E15" s="48">
        <v>25</v>
      </c>
    </row>
    <row r="16" spans="1:25" s="42" customFormat="1" x14ac:dyDescent="0.2">
      <c r="A16" s="40">
        <v>53</v>
      </c>
      <c r="B16" s="40" t="s">
        <v>195</v>
      </c>
      <c r="C16" s="40" t="s">
        <v>191</v>
      </c>
      <c r="D16" s="40"/>
      <c r="E16" s="48">
        <v>28</v>
      </c>
    </row>
    <row r="17" spans="1:5" s="42" customFormat="1" x14ac:dyDescent="0.2">
      <c r="A17" s="40">
        <v>53</v>
      </c>
      <c r="B17" s="40" t="s">
        <v>196</v>
      </c>
      <c r="C17" s="40" t="s">
        <v>171</v>
      </c>
      <c r="D17" s="40" t="s">
        <v>833</v>
      </c>
      <c r="E17" s="48">
        <v>29</v>
      </c>
    </row>
    <row r="18" spans="1:5" s="42" customFormat="1" x14ac:dyDescent="0.2">
      <c r="A18" s="40">
        <v>53</v>
      </c>
      <c r="B18" s="40" t="s">
        <v>197</v>
      </c>
      <c r="C18" s="40" t="s">
        <v>198</v>
      </c>
      <c r="D18" s="40"/>
      <c r="E18" s="48">
        <v>17</v>
      </c>
    </row>
    <row r="19" spans="1:5" s="42" customFormat="1" x14ac:dyDescent="0.2">
      <c r="A19" s="40">
        <v>53</v>
      </c>
      <c r="B19" s="40" t="s">
        <v>200</v>
      </c>
      <c r="C19" s="40" t="s">
        <v>201</v>
      </c>
      <c r="D19" s="40"/>
      <c r="E19" s="48">
        <v>5</v>
      </c>
    </row>
    <row r="20" spans="1:5" s="42" customFormat="1" x14ac:dyDescent="0.2">
      <c r="A20" s="40">
        <v>53</v>
      </c>
      <c r="B20" s="40" t="s">
        <v>202</v>
      </c>
      <c r="C20" s="40" t="s">
        <v>171</v>
      </c>
      <c r="D20" s="40" t="s">
        <v>833</v>
      </c>
      <c r="E20" s="48">
        <v>29</v>
      </c>
    </row>
    <row r="21" spans="1:5" s="42" customFormat="1" x14ac:dyDescent="0.2">
      <c r="A21" s="40">
        <v>53</v>
      </c>
      <c r="B21" s="40" t="s">
        <v>203</v>
      </c>
      <c r="C21" s="40" t="s">
        <v>171</v>
      </c>
      <c r="D21" s="40" t="s">
        <v>833</v>
      </c>
      <c r="E21" s="48">
        <v>29</v>
      </c>
    </row>
    <row r="22" spans="1:5" s="42" customFormat="1" x14ac:dyDescent="0.2">
      <c r="A22" s="40">
        <v>53</v>
      </c>
      <c r="B22" s="40" t="s">
        <v>204</v>
      </c>
      <c r="C22" s="40" t="s">
        <v>191</v>
      </c>
      <c r="D22" s="40"/>
      <c r="E22" s="48">
        <v>28</v>
      </c>
    </row>
    <row r="23" spans="1:5" s="42" customFormat="1" x14ac:dyDescent="0.2">
      <c r="A23" s="40">
        <v>53</v>
      </c>
      <c r="B23" s="40" t="s">
        <v>205</v>
      </c>
      <c r="C23" s="40" t="s">
        <v>206</v>
      </c>
      <c r="D23" s="40" t="s">
        <v>834</v>
      </c>
      <c r="E23" s="48">
        <v>4</v>
      </c>
    </row>
    <row r="24" spans="1:5" s="42" customFormat="1" x14ac:dyDescent="0.2">
      <c r="A24" s="40">
        <v>53</v>
      </c>
      <c r="B24" s="40" t="s">
        <v>207</v>
      </c>
      <c r="C24" s="40" t="s">
        <v>191</v>
      </c>
      <c r="D24" s="40"/>
      <c r="E24" s="48">
        <v>17</v>
      </c>
    </row>
    <row r="25" spans="1:5" s="42" customFormat="1" x14ac:dyDescent="0.2">
      <c r="A25" s="40">
        <v>53</v>
      </c>
      <c r="B25" s="40" t="s">
        <v>208</v>
      </c>
      <c r="C25" s="40" t="s">
        <v>191</v>
      </c>
      <c r="D25" s="40"/>
      <c r="E25" s="48">
        <v>28</v>
      </c>
    </row>
    <row r="26" spans="1:5" s="42" customFormat="1" x14ac:dyDescent="0.2">
      <c r="A26" s="40">
        <v>53</v>
      </c>
      <c r="B26" s="40" t="s">
        <v>209</v>
      </c>
      <c r="C26" s="40" t="s">
        <v>181</v>
      </c>
      <c r="D26" s="40"/>
      <c r="E26" s="48">
        <v>15</v>
      </c>
    </row>
    <row r="27" spans="1:5" s="42" customFormat="1" x14ac:dyDescent="0.2">
      <c r="A27" s="40">
        <v>53</v>
      </c>
      <c r="B27" s="40" t="s">
        <v>210</v>
      </c>
      <c r="C27" s="40" t="s">
        <v>211</v>
      </c>
      <c r="D27" s="40"/>
      <c r="E27" s="48">
        <v>1</v>
      </c>
    </row>
    <row r="28" spans="1:5" s="42" customFormat="1" x14ac:dyDescent="0.2">
      <c r="A28" s="40">
        <v>53</v>
      </c>
      <c r="B28" s="40" t="s">
        <v>212</v>
      </c>
      <c r="C28" s="40" t="s">
        <v>213</v>
      </c>
      <c r="D28" s="40"/>
      <c r="E28" s="48">
        <v>26</v>
      </c>
    </row>
    <row r="29" spans="1:5" s="42" customFormat="1" x14ac:dyDescent="0.2">
      <c r="A29" s="40">
        <v>53</v>
      </c>
      <c r="B29" s="40" t="s">
        <v>214</v>
      </c>
      <c r="C29" s="40" t="s">
        <v>199</v>
      </c>
      <c r="D29" s="40"/>
      <c r="E29" s="48">
        <v>3</v>
      </c>
    </row>
    <row r="30" spans="1:5" s="42" customFormat="1" x14ac:dyDescent="0.2">
      <c r="A30" s="40">
        <v>53</v>
      </c>
      <c r="B30" s="40" t="s">
        <v>215</v>
      </c>
      <c r="C30" s="40" t="s">
        <v>216</v>
      </c>
      <c r="D30" s="40" t="s">
        <v>834</v>
      </c>
      <c r="E30" s="48">
        <v>30</v>
      </c>
    </row>
    <row r="31" spans="1:5" s="42" customFormat="1" x14ac:dyDescent="0.2">
      <c r="A31" s="40">
        <v>53</v>
      </c>
      <c r="B31" s="40" t="s">
        <v>217</v>
      </c>
      <c r="C31" s="40" t="s">
        <v>216</v>
      </c>
      <c r="D31" s="40" t="s">
        <v>834</v>
      </c>
      <c r="E31" s="48">
        <v>31</v>
      </c>
    </row>
    <row r="32" spans="1:5" s="42" customFormat="1" x14ac:dyDescent="0.2">
      <c r="A32" s="40">
        <v>53</v>
      </c>
      <c r="B32" s="40" t="s">
        <v>218</v>
      </c>
      <c r="C32" s="40" t="s">
        <v>179</v>
      </c>
      <c r="D32" s="40" t="s">
        <v>834</v>
      </c>
      <c r="E32" s="48">
        <v>34</v>
      </c>
    </row>
    <row r="33" spans="1:5" s="42" customFormat="1" x14ac:dyDescent="0.2">
      <c r="A33" s="40">
        <v>53</v>
      </c>
      <c r="B33" s="40" t="s">
        <v>219</v>
      </c>
      <c r="C33" s="40" t="s">
        <v>179</v>
      </c>
      <c r="D33" s="40" t="s">
        <v>834</v>
      </c>
      <c r="E33" s="48">
        <v>34</v>
      </c>
    </row>
    <row r="34" spans="1:5" s="42" customFormat="1" x14ac:dyDescent="0.2">
      <c r="A34" s="40">
        <v>53</v>
      </c>
      <c r="B34" s="40" t="s">
        <v>220</v>
      </c>
      <c r="C34" s="40" t="s">
        <v>179</v>
      </c>
      <c r="D34" s="40" t="s">
        <v>834</v>
      </c>
      <c r="E34" s="48">
        <v>34</v>
      </c>
    </row>
    <row r="35" spans="1:5" s="42" customFormat="1" x14ac:dyDescent="0.2">
      <c r="A35" s="40">
        <v>53</v>
      </c>
      <c r="B35" s="40" t="s">
        <v>221</v>
      </c>
      <c r="C35" s="40" t="s">
        <v>179</v>
      </c>
      <c r="D35" s="40" t="s">
        <v>834</v>
      </c>
      <c r="E35" s="48">
        <v>33</v>
      </c>
    </row>
    <row r="36" spans="1:5" s="42" customFormat="1" x14ac:dyDescent="0.2">
      <c r="A36" s="40">
        <v>53</v>
      </c>
      <c r="B36" s="40" t="s">
        <v>222</v>
      </c>
      <c r="C36" s="40" t="s">
        <v>223</v>
      </c>
      <c r="D36" s="40" t="s">
        <v>835</v>
      </c>
      <c r="E36" s="48">
        <v>2</v>
      </c>
    </row>
    <row r="37" spans="1:5" s="42" customFormat="1" x14ac:dyDescent="0.2">
      <c r="A37" s="40">
        <v>53</v>
      </c>
      <c r="B37" s="40" t="s">
        <v>224</v>
      </c>
      <c r="C37" s="40" t="s">
        <v>225</v>
      </c>
      <c r="D37" s="40" t="s">
        <v>835</v>
      </c>
      <c r="E37" s="48">
        <v>32</v>
      </c>
    </row>
    <row r="38" spans="1:5" s="42" customFormat="1" x14ac:dyDescent="0.2">
      <c r="A38" s="40">
        <v>53</v>
      </c>
      <c r="B38" s="40" t="s">
        <v>226</v>
      </c>
      <c r="C38" s="40" t="s">
        <v>225</v>
      </c>
      <c r="D38" s="40" t="s">
        <v>835</v>
      </c>
      <c r="E38" s="48">
        <v>30</v>
      </c>
    </row>
    <row r="39" spans="1:5" s="42" customFormat="1" x14ac:dyDescent="0.2">
      <c r="A39" s="40">
        <v>53</v>
      </c>
      <c r="B39" s="40" t="s">
        <v>227</v>
      </c>
      <c r="C39" s="40" t="s">
        <v>225</v>
      </c>
      <c r="D39" s="40" t="s">
        <v>835</v>
      </c>
      <c r="E39" s="48">
        <v>32</v>
      </c>
    </row>
    <row r="40" spans="1:5" s="42" customFormat="1" x14ac:dyDescent="0.2">
      <c r="A40" s="40">
        <v>53</v>
      </c>
      <c r="B40" s="40" t="s">
        <v>228</v>
      </c>
      <c r="C40" s="40" t="s">
        <v>229</v>
      </c>
      <c r="D40" s="40"/>
      <c r="E40" s="48">
        <v>28</v>
      </c>
    </row>
    <row r="41" spans="1:5" s="42" customFormat="1" x14ac:dyDescent="0.2">
      <c r="A41" s="40">
        <v>53</v>
      </c>
      <c r="B41" s="40" t="s">
        <v>230</v>
      </c>
      <c r="C41" s="40" t="s">
        <v>231</v>
      </c>
      <c r="D41" s="40"/>
      <c r="E41" s="48">
        <v>30</v>
      </c>
    </row>
    <row r="42" spans="1:5" s="42" customFormat="1" x14ac:dyDescent="0.2">
      <c r="A42" s="40">
        <v>54</v>
      </c>
      <c r="B42" s="40" t="s">
        <v>232</v>
      </c>
      <c r="C42" s="40" t="s">
        <v>186</v>
      </c>
      <c r="D42" s="40"/>
      <c r="E42" s="48">
        <v>25</v>
      </c>
    </row>
    <row r="43" spans="1:5" s="42" customFormat="1" x14ac:dyDescent="0.2">
      <c r="A43" s="40">
        <v>54</v>
      </c>
      <c r="B43" s="40" t="s">
        <v>233</v>
      </c>
      <c r="C43" s="40" t="s">
        <v>186</v>
      </c>
      <c r="D43" s="40"/>
      <c r="E43" s="48">
        <v>25</v>
      </c>
    </row>
    <row r="44" spans="1:5" s="42" customFormat="1" x14ac:dyDescent="0.2">
      <c r="A44" s="40">
        <v>54</v>
      </c>
      <c r="B44" s="40" t="s">
        <v>234</v>
      </c>
      <c r="C44" s="40" t="s">
        <v>186</v>
      </c>
      <c r="D44" s="40"/>
      <c r="E44" s="48">
        <v>25</v>
      </c>
    </row>
    <row r="45" spans="1:5" s="42" customFormat="1" x14ac:dyDescent="0.2">
      <c r="A45" s="40">
        <v>54</v>
      </c>
      <c r="B45" s="40" t="s">
        <v>235</v>
      </c>
      <c r="C45" s="40" t="s">
        <v>186</v>
      </c>
      <c r="D45" s="40"/>
      <c r="E45" s="48">
        <v>25</v>
      </c>
    </row>
    <row r="46" spans="1:5" s="42" customFormat="1" x14ac:dyDescent="0.2">
      <c r="A46" s="40">
        <v>54</v>
      </c>
      <c r="B46" s="40" t="s">
        <v>236</v>
      </c>
      <c r="C46" s="40" t="s">
        <v>237</v>
      </c>
      <c r="D46" s="40"/>
      <c r="E46" s="48">
        <v>25</v>
      </c>
    </row>
    <row r="47" spans="1:5" s="42" customFormat="1" x14ac:dyDescent="0.2">
      <c r="A47" s="40">
        <v>54</v>
      </c>
      <c r="B47" s="40" t="s">
        <v>238</v>
      </c>
      <c r="C47" s="40" t="s">
        <v>239</v>
      </c>
      <c r="D47" s="40"/>
      <c r="E47" s="48">
        <v>15</v>
      </c>
    </row>
    <row r="48" spans="1:5" s="42" customFormat="1" x14ac:dyDescent="0.2">
      <c r="A48" s="40">
        <v>54</v>
      </c>
      <c r="B48" s="40" t="s">
        <v>240</v>
      </c>
      <c r="C48" s="40" t="s">
        <v>241</v>
      </c>
      <c r="D48" s="40"/>
      <c r="E48" s="48">
        <v>2</v>
      </c>
    </row>
    <row r="49" spans="1:5" s="42" customFormat="1" x14ac:dyDescent="0.2">
      <c r="A49" s="40">
        <v>54</v>
      </c>
      <c r="B49" s="40" t="s">
        <v>242</v>
      </c>
      <c r="C49" s="40" t="s">
        <v>213</v>
      </c>
      <c r="D49" s="40"/>
      <c r="E49" s="48">
        <v>26</v>
      </c>
    </row>
    <row r="50" spans="1:5" s="42" customFormat="1" x14ac:dyDescent="0.2">
      <c r="A50" s="40">
        <v>54</v>
      </c>
      <c r="B50" s="40" t="s">
        <v>243</v>
      </c>
      <c r="C50" s="40" t="s">
        <v>189</v>
      </c>
      <c r="D50" s="40"/>
      <c r="E50" s="48">
        <v>3</v>
      </c>
    </row>
    <row r="51" spans="1:5" s="42" customFormat="1" x14ac:dyDescent="0.2">
      <c r="A51" s="40">
        <v>54</v>
      </c>
      <c r="B51" s="40" t="s">
        <v>244</v>
      </c>
      <c r="C51" s="40" t="s">
        <v>191</v>
      </c>
      <c r="D51" s="40"/>
      <c r="E51" s="48">
        <v>32</v>
      </c>
    </row>
    <row r="52" spans="1:5" s="42" customFormat="1" x14ac:dyDescent="0.2">
      <c r="A52" s="40">
        <v>54</v>
      </c>
      <c r="B52" s="40" t="s">
        <v>245</v>
      </c>
      <c r="C52" s="40" t="s">
        <v>191</v>
      </c>
      <c r="D52" s="40"/>
      <c r="E52" s="48">
        <v>33</v>
      </c>
    </row>
    <row r="53" spans="1:5" s="42" customFormat="1" x14ac:dyDescent="0.2">
      <c r="A53" s="40">
        <v>54</v>
      </c>
      <c r="B53" s="40" t="s">
        <v>246</v>
      </c>
      <c r="C53" s="40" t="s">
        <v>193</v>
      </c>
      <c r="D53" s="40"/>
      <c r="E53" s="48">
        <v>30</v>
      </c>
    </row>
    <row r="54" spans="1:5" s="42" customFormat="1" x14ac:dyDescent="0.2">
      <c r="A54" s="40">
        <v>54</v>
      </c>
      <c r="B54" s="40" t="s">
        <v>247</v>
      </c>
      <c r="C54" s="40" t="s">
        <v>193</v>
      </c>
      <c r="D54" s="40"/>
      <c r="E54" s="48">
        <v>25</v>
      </c>
    </row>
    <row r="55" spans="1:5" s="42" customFormat="1" x14ac:dyDescent="0.2">
      <c r="A55" s="40">
        <v>54</v>
      </c>
      <c r="B55" s="40" t="s">
        <v>244</v>
      </c>
      <c r="C55" s="40" t="s">
        <v>193</v>
      </c>
      <c r="D55" s="40"/>
      <c r="E55" s="48">
        <v>30</v>
      </c>
    </row>
    <row r="56" spans="1:5" s="42" customFormat="1" x14ac:dyDescent="0.2">
      <c r="A56" s="40">
        <v>54</v>
      </c>
      <c r="B56" s="40" t="s">
        <v>248</v>
      </c>
      <c r="C56" s="40" t="s">
        <v>249</v>
      </c>
      <c r="D56" s="40"/>
      <c r="E56" s="48">
        <v>25</v>
      </c>
    </row>
    <row r="57" spans="1:5" s="42" customFormat="1" x14ac:dyDescent="0.2">
      <c r="A57" s="40">
        <v>54</v>
      </c>
      <c r="B57" s="40" t="s">
        <v>250</v>
      </c>
      <c r="C57" s="40" t="s">
        <v>251</v>
      </c>
      <c r="D57" s="40"/>
      <c r="E57" s="48">
        <v>43</v>
      </c>
    </row>
    <row r="58" spans="1:5" s="42" customFormat="1" x14ac:dyDescent="0.2">
      <c r="A58" s="40">
        <v>54</v>
      </c>
      <c r="B58" s="40" t="s">
        <v>252</v>
      </c>
      <c r="C58" s="40" t="s">
        <v>181</v>
      </c>
      <c r="D58" s="40"/>
      <c r="E58" s="48">
        <v>44</v>
      </c>
    </row>
    <row r="59" spans="1:5" s="42" customFormat="1" x14ac:dyDescent="0.2">
      <c r="A59" s="40">
        <v>54</v>
      </c>
      <c r="B59" s="40" t="s">
        <v>253</v>
      </c>
      <c r="C59" s="40" t="s">
        <v>181</v>
      </c>
      <c r="D59" s="40"/>
      <c r="E59" s="48">
        <v>44</v>
      </c>
    </row>
    <row r="60" spans="1:5" s="42" customFormat="1" x14ac:dyDescent="0.2">
      <c r="A60" s="40">
        <v>54</v>
      </c>
      <c r="B60" s="40" t="s">
        <v>254</v>
      </c>
      <c r="C60" s="40" t="s">
        <v>181</v>
      </c>
      <c r="D60" s="40"/>
      <c r="E60" s="48">
        <v>44</v>
      </c>
    </row>
    <row r="61" spans="1:5" s="42" customFormat="1" x14ac:dyDescent="0.2">
      <c r="A61" s="40">
        <v>54</v>
      </c>
      <c r="B61" s="40" t="s">
        <v>255</v>
      </c>
      <c r="C61" s="40" t="s">
        <v>181</v>
      </c>
      <c r="D61" s="40"/>
      <c r="E61" s="48">
        <v>44</v>
      </c>
    </row>
    <row r="62" spans="1:5" s="42" customFormat="1" x14ac:dyDescent="0.2">
      <c r="A62" s="40">
        <v>54</v>
      </c>
      <c r="B62" s="40" t="s">
        <v>256</v>
      </c>
      <c r="C62" s="40" t="s">
        <v>198</v>
      </c>
      <c r="D62" s="40"/>
      <c r="E62" s="48">
        <v>14</v>
      </c>
    </row>
    <row r="63" spans="1:5" s="42" customFormat="1" x14ac:dyDescent="0.2">
      <c r="A63" s="40">
        <v>54</v>
      </c>
      <c r="B63" s="40" t="s">
        <v>257</v>
      </c>
      <c r="C63" s="40" t="s">
        <v>186</v>
      </c>
      <c r="D63" s="40"/>
      <c r="E63" s="48">
        <v>25</v>
      </c>
    </row>
    <row r="64" spans="1:5" s="42" customFormat="1" x14ac:dyDescent="0.2">
      <c r="A64" s="40">
        <v>54</v>
      </c>
      <c r="B64" s="40" t="s">
        <v>258</v>
      </c>
      <c r="C64" s="40" t="s">
        <v>186</v>
      </c>
      <c r="D64" s="40"/>
      <c r="E64" s="48">
        <v>25</v>
      </c>
    </row>
    <row r="65" spans="1:5" s="42" customFormat="1" x14ac:dyDescent="0.2">
      <c r="A65" s="40">
        <v>54</v>
      </c>
      <c r="B65" s="40" t="s">
        <v>259</v>
      </c>
      <c r="C65" s="40" t="s">
        <v>186</v>
      </c>
      <c r="D65" s="40"/>
      <c r="E65" s="48">
        <v>25</v>
      </c>
    </row>
    <row r="66" spans="1:5" s="42" customFormat="1" x14ac:dyDescent="0.2">
      <c r="A66" s="40">
        <v>54</v>
      </c>
      <c r="B66" s="40" t="s">
        <v>260</v>
      </c>
      <c r="C66" s="40" t="s">
        <v>186</v>
      </c>
      <c r="D66" s="40"/>
      <c r="E66" s="48">
        <v>25</v>
      </c>
    </row>
    <row r="67" spans="1:5" s="42" customFormat="1" x14ac:dyDescent="0.2">
      <c r="A67" s="40">
        <v>54</v>
      </c>
      <c r="B67" s="40" t="s">
        <v>261</v>
      </c>
      <c r="C67" s="40" t="s">
        <v>186</v>
      </c>
      <c r="D67" s="40"/>
      <c r="E67" s="48">
        <v>25</v>
      </c>
    </row>
    <row r="68" spans="1:5" s="42" customFormat="1" x14ac:dyDescent="0.2">
      <c r="A68" s="40">
        <v>54</v>
      </c>
      <c r="B68" s="40" t="s">
        <v>262</v>
      </c>
      <c r="C68" s="40" t="s">
        <v>171</v>
      </c>
      <c r="D68" s="40"/>
      <c r="E68" s="48">
        <v>8</v>
      </c>
    </row>
    <row r="69" spans="1:5" s="42" customFormat="1" x14ac:dyDescent="0.2">
      <c r="A69" s="40">
        <v>54</v>
      </c>
      <c r="B69" s="40" t="s">
        <v>263</v>
      </c>
      <c r="C69" s="40" t="s">
        <v>181</v>
      </c>
      <c r="D69" s="40"/>
      <c r="E69" s="48">
        <v>10</v>
      </c>
    </row>
    <row r="70" spans="1:5" s="42" customFormat="1" x14ac:dyDescent="0.2">
      <c r="A70" s="40">
        <v>54</v>
      </c>
      <c r="B70" s="40" t="s">
        <v>264</v>
      </c>
      <c r="C70" s="40" t="s">
        <v>179</v>
      </c>
      <c r="D70" s="40"/>
      <c r="E70" s="48">
        <v>25</v>
      </c>
    </row>
    <row r="71" spans="1:5" s="42" customFormat="1" x14ac:dyDescent="0.2">
      <c r="A71" s="40">
        <v>54</v>
      </c>
      <c r="B71" s="40" t="s">
        <v>265</v>
      </c>
      <c r="C71" s="40" t="s">
        <v>186</v>
      </c>
      <c r="D71" s="40"/>
      <c r="E71" s="48">
        <v>25</v>
      </c>
    </row>
    <row r="72" spans="1:5" s="42" customFormat="1" x14ac:dyDescent="0.2">
      <c r="A72" s="40">
        <v>54</v>
      </c>
      <c r="B72" s="40" t="s">
        <v>266</v>
      </c>
      <c r="C72" s="40" t="s">
        <v>186</v>
      </c>
      <c r="D72" s="40"/>
      <c r="E72" s="48">
        <v>25</v>
      </c>
    </row>
    <row r="73" spans="1:5" s="42" customFormat="1" x14ac:dyDescent="0.2">
      <c r="A73" s="40">
        <v>5</v>
      </c>
      <c r="B73" s="40" t="s">
        <v>267</v>
      </c>
      <c r="C73" s="40" t="s">
        <v>191</v>
      </c>
      <c r="D73" s="40"/>
      <c r="E73" s="48">
        <v>16</v>
      </c>
    </row>
    <row r="74" spans="1:5" s="42" customFormat="1" x14ac:dyDescent="0.2">
      <c r="A74" s="40">
        <v>54</v>
      </c>
      <c r="B74" s="40" t="s">
        <v>268</v>
      </c>
      <c r="C74" s="40" t="s">
        <v>231</v>
      </c>
      <c r="D74" s="40"/>
      <c r="E74" s="48">
        <v>30</v>
      </c>
    </row>
    <row r="75" spans="1:5" s="42" customFormat="1" x14ac:dyDescent="0.2">
      <c r="A75" s="40">
        <v>54</v>
      </c>
      <c r="B75" s="40" t="s">
        <v>264</v>
      </c>
      <c r="C75" s="40" t="s">
        <v>179</v>
      </c>
      <c r="D75" s="40"/>
      <c r="E75" s="48">
        <v>25</v>
      </c>
    </row>
    <row r="76" spans="1:5" s="42" customFormat="1" x14ac:dyDescent="0.2">
      <c r="A76" s="40">
        <v>54</v>
      </c>
      <c r="B76" s="40" t="s">
        <v>269</v>
      </c>
      <c r="C76" s="40" t="s">
        <v>179</v>
      </c>
      <c r="D76" s="40"/>
      <c r="E76" s="48">
        <v>8</v>
      </c>
    </row>
    <row r="77" spans="1:5" s="42" customFormat="1" x14ac:dyDescent="0.2">
      <c r="A77" s="40">
        <v>54</v>
      </c>
      <c r="B77" s="40" t="s">
        <v>270</v>
      </c>
      <c r="C77" s="40" t="s">
        <v>179</v>
      </c>
      <c r="D77" s="40"/>
      <c r="E77" s="48">
        <v>19</v>
      </c>
    </row>
    <row r="78" spans="1:5" s="42" customFormat="1" x14ac:dyDescent="0.2">
      <c r="A78" s="40">
        <v>54</v>
      </c>
      <c r="B78" s="40" t="s">
        <v>271</v>
      </c>
      <c r="C78" s="40" t="s">
        <v>272</v>
      </c>
      <c r="D78" s="40"/>
      <c r="E78" s="48">
        <v>6</v>
      </c>
    </row>
    <row r="79" spans="1:5" s="42" customFormat="1" x14ac:dyDescent="0.2">
      <c r="A79" s="40">
        <v>54</v>
      </c>
      <c r="B79" s="40" t="s">
        <v>273</v>
      </c>
      <c r="C79" s="40" t="s">
        <v>191</v>
      </c>
      <c r="D79" s="40"/>
      <c r="E79" s="48">
        <v>17</v>
      </c>
    </row>
    <row r="80" spans="1:5" s="42" customFormat="1" x14ac:dyDescent="0.2">
      <c r="A80" s="40">
        <v>54</v>
      </c>
      <c r="B80" s="40" t="s">
        <v>274</v>
      </c>
      <c r="C80" s="40" t="s">
        <v>275</v>
      </c>
      <c r="D80" s="40"/>
      <c r="E80" s="48">
        <v>2</v>
      </c>
    </row>
    <row r="81" spans="1:5" s="42" customFormat="1" x14ac:dyDescent="0.2">
      <c r="A81" s="40">
        <v>54</v>
      </c>
      <c r="B81" s="40" t="s">
        <v>276</v>
      </c>
      <c r="C81" s="40" t="s">
        <v>191</v>
      </c>
      <c r="D81" s="40"/>
      <c r="E81" s="48">
        <v>28</v>
      </c>
    </row>
    <row r="82" spans="1:5" s="42" customFormat="1" x14ac:dyDescent="0.2">
      <c r="A82" s="40">
        <v>54</v>
      </c>
      <c r="B82" s="40" t="s">
        <v>277</v>
      </c>
      <c r="C82" s="40" t="s">
        <v>191</v>
      </c>
      <c r="D82" s="40"/>
      <c r="E82" s="48">
        <v>28</v>
      </c>
    </row>
    <row r="83" spans="1:5" s="42" customFormat="1" x14ac:dyDescent="0.2">
      <c r="A83" s="40">
        <v>54</v>
      </c>
      <c r="B83" s="40" t="s">
        <v>278</v>
      </c>
      <c r="C83" s="40" t="s">
        <v>181</v>
      </c>
      <c r="D83" s="40"/>
      <c r="E83" s="48">
        <v>25</v>
      </c>
    </row>
    <row r="84" spans="1:5" s="42" customFormat="1" x14ac:dyDescent="0.2">
      <c r="A84" s="40">
        <v>54</v>
      </c>
      <c r="B84" s="40" t="s">
        <v>279</v>
      </c>
      <c r="C84" s="40" t="s">
        <v>181</v>
      </c>
      <c r="D84" s="40"/>
      <c r="E84" s="48">
        <v>12</v>
      </c>
    </row>
    <row r="85" spans="1:5" s="42" customFormat="1" x14ac:dyDescent="0.2">
      <c r="A85" s="40">
        <v>54</v>
      </c>
      <c r="B85" s="40" t="s">
        <v>280</v>
      </c>
      <c r="C85" s="40" t="s">
        <v>191</v>
      </c>
      <c r="D85" s="40"/>
      <c r="E85" s="48">
        <v>28</v>
      </c>
    </row>
    <row r="86" spans="1:5" s="42" customFormat="1" x14ac:dyDescent="0.2">
      <c r="A86" s="40">
        <v>54</v>
      </c>
      <c r="B86" s="40" t="s">
        <v>281</v>
      </c>
      <c r="C86" s="40" t="s">
        <v>282</v>
      </c>
      <c r="D86" s="40"/>
      <c r="E86" s="48">
        <v>5</v>
      </c>
    </row>
    <row r="87" spans="1:5" s="42" customFormat="1" x14ac:dyDescent="0.2">
      <c r="A87" s="40">
        <v>54</v>
      </c>
      <c r="B87" s="40" t="s">
        <v>283</v>
      </c>
      <c r="C87" s="40" t="s">
        <v>284</v>
      </c>
      <c r="D87" s="40"/>
      <c r="E87" s="48">
        <v>29</v>
      </c>
    </row>
    <row r="88" spans="1:5" s="42" customFormat="1" x14ac:dyDescent="0.2">
      <c r="A88" s="40">
        <v>54</v>
      </c>
      <c r="B88" s="40" t="s">
        <v>285</v>
      </c>
      <c r="C88" s="40" t="s">
        <v>231</v>
      </c>
      <c r="D88" s="40"/>
      <c r="E88" s="48">
        <v>31</v>
      </c>
    </row>
    <row r="89" spans="1:5" s="42" customFormat="1" x14ac:dyDescent="0.2">
      <c r="A89" s="40">
        <v>54</v>
      </c>
      <c r="B89" s="40" t="s">
        <v>286</v>
      </c>
      <c r="C89" s="40" t="s">
        <v>181</v>
      </c>
      <c r="D89" s="40"/>
      <c r="E89" s="48">
        <v>25</v>
      </c>
    </row>
    <row r="90" spans="1:5" s="42" customFormat="1" x14ac:dyDescent="0.2">
      <c r="A90" s="40">
        <v>55</v>
      </c>
      <c r="B90" s="40" t="s">
        <v>287</v>
      </c>
      <c r="C90" s="40" t="s">
        <v>288</v>
      </c>
      <c r="D90" s="40"/>
      <c r="E90" s="48">
        <v>25</v>
      </c>
    </row>
    <row r="91" spans="1:5" s="42" customFormat="1" x14ac:dyDescent="0.2">
      <c r="A91" s="40">
        <v>55</v>
      </c>
      <c r="B91" s="40" t="s">
        <v>289</v>
      </c>
      <c r="C91" s="40" t="s">
        <v>288</v>
      </c>
      <c r="D91" s="40"/>
      <c r="E91" s="48">
        <v>25</v>
      </c>
    </row>
    <row r="92" spans="1:5" s="42" customFormat="1" x14ac:dyDescent="0.2">
      <c r="A92" s="40">
        <v>55</v>
      </c>
      <c r="B92" s="40" t="s">
        <v>290</v>
      </c>
      <c r="C92" s="40" t="s">
        <v>288</v>
      </c>
      <c r="D92" s="40"/>
      <c r="E92" s="48">
        <v>18</v>
      </c>
    </row>
    <row r="93" spans="1:5" s="42" customFormat="1" x14ac:dyDescent="0.2">
      <c r="A93" s="40">
        <v>55</v>
      </c>
      <c r="B93" s="40" t="s">
        <v>291</v>
      </c>
      <c r="C93" s="40" t="s">
        <v>288</v>
      </c>
      <c r="D93" s="40"/>
      <c r="E93" s="48">
        <v>25</v>
      </c>
    </row>
    <row r="94" spans="1:5" s="42" customFormat="1" x14ac:dyDescent="0.2">
      <c r="A94" s="40">
        <v>55</v>
      </c>
      <c r="B94" s="40" t="s">
        <v>292</v>
      </c>
      <c r="C94" s="40" t="s">
        <v>288</v>
      </c>
      <c r="D94" s="40"/>
      <c r="E94" s="48">
        <v>25</v>
      </c>
    </row>
    <row r="95" spans="1:5" s="42" customFormat="1" x14ac:dyDescent="0.2">
      <c r="A95" s="40">
        <v>55</v>
      </c>
      <c r="B95" s="40" t="s">
        <v>293</v>
      </c>
      <c r="C95" s="40" t="s">
        <v>294</v>
      </c>
      <c r="D95" s="40"/>
      <c r="E95" s="48">
        <v>4</v>
      </c>
    </row>
    <row r="96" spans="1:5" s="42" customFormat="1" x14ac:dyDescent="0.2">
      <c r="A96" s="40">
        <v>55</v>
      </c>
      <c r="B96" s="40" t="s">
        <v>295</v>
      </c>
      <c r="C96" s="40" t="s">
        <v>296</v>
      </c>
      <c r="D96" s="40"/>
      <c r="E96" s="48">
        <v>4</v>
      </c>
    </row>
    <row r="97" spans="1:5" s="42" customFormat="1" x14ac:dyDescent="0.2">
      <c r="A97" s="40">
        <v>55</v>
      </c>
      <c r="B97" s="40" t="s">
        <v>297</v>
      </c>
      <c r="C97" s="40" t="s">
        <v>298</v>
      </c>
      <c r="D97" s="40"/>
      <c r="E97" s="48">
        <v>2</v>
      </c>
    </row>
    <row r="98" spans="1:5" s="42" customFormat="1" x14ac:dyDescent="0.2">
      <c r="A98" s="40">
        <v>55</v>
      </c>
      <c r="B98" s="40" t="s">
        <v>299</v>
      </c>
      <c r="C98" s="40" t="s">
        <v>179</v>
      </c>
      <c r="D98" s="40"/>
      <c r="E98" s="48">
        <v>25</v>
      </c>
    </row>
    <row r="99" spans="1:5" s="42" customFormat="1" x14ac:dyDescent="0.2">
      <c r="A99" s="40">
        <v>55</v>
      </c>
      <c r="B99" s="40" t="s">
        <v>300</v>
      </c>
      <c r="C99" s="40" t="s">
        <v>301</v>
      </c>
      <c r="D99" s="40"/>
      <c r="E99" s="48">
        <v>1</v>
      </c>
    </row>
    <row r="100" spans="1:5" s="42" customFormat="1" x14ac:dyDescent="0.2">
      <c r="A100" s="40">
        <v>55</v>
      </c>
      <c r="B100" s="40" t="s">
        <v>302</v>
      </c>
      <c r="C100" s="40" t="s">
        <v>303</v>
      </c>
      <c r="D100" s="40"/>
      <c r="E100" s="48">
        <v>3.5</v>
      </c>
    </row>
    <row r="101" spans="1:5" s="42" customFormat="1" x14ac:dyDescent="0.2">
      <c r="A101" s="40">
        <v>55</v>
      </c>
      <c r="B101" s="40" t="s">
        <v>304</v>
      </c>
      <c r="C101" s="40" t="s">
        <v>305</v>
      </c>
      <c r="D101" s="40"/>
      <c r="E101" s="48">
        <v>22</v>
      </c>
    </row>
    <row r="102" spans="1:5" s="42" customFormat="1" x14ac:dyDescent="0.2">
      <c r="A102" s="40">
        <v>55</v>
      </c>
      <c r="B102" s="40" t="s">
        <v>306</v>
      </c>
      <c r="C102" s="40" t="s">
        <v>307</v>
      </c>
      <c r="D102" s="40"/>
      <c r="E102" s="48">
        <v>9</v>
      </c>
    </row>
    <row r="103" spans="1:5" s="42" customFormat="1" x14ac:dyDescent="0.2">
      <c r="A103" s="40">
        <v>55</v>
      </c>
      <c r="B103" s="40" t="s">
        <v>308</v>
      </c>
      <c r="C103" s="40" t="s">
        <v>309</v>
      </c>
      <c r="D103" s="40"/>
      <c r="E103" s="48">
        <v>4</v>
      </c>
    </row>
    <row r="104" spans="1:5" s="42" customFormat="1" x14ac:dyDescent="0.2">
      <c r="A104" s="40">
        <v>55</v>
      </c>
      <c r="B104" s="40" t="s">
        <v>310</v>
      </c>
      <c r="C104" s="40" t="s">
        <v>311</v>
      </c>
      <c r="D104" s="40"/>
      <c r="E104" s="48">
        <v>2</v>
      </c>
    </row>
    <row r="105" spans="1:5" s="42" customFormat="1" x14ac:dyDescent="0.2">
      <c r="A105" s="40">
        <v>55</v>
      </c>
      <c r="B105" s="40" t="s">
        <v>312</v>
      </c>
      <c r="C105" s="40" t="s">
        <v>313</v>
      </c>
      <c r="D105" s="40"/>
      <c r="E105" s="48">
        <v>30</v>
      </c>
    </row>
    <row r="106" spans="1:5" s="42" customFormat="1" x14ac:dyDescent="0.2">
      <c r="A106" s="40">
        <v>55</v>
      </c>
      <c r="B106" s="40" t="s">
        <v>314</v>
      </c>
      <c r="C106" s="40" t="s">
        <v>294</v>
      </c>
      <c r="D106" s="40"/>
      <c r="E106" s="48">
        <v>6</v>
      </c>
    </row>
    <row r="107" spans="1:5" s="42" customFormat="1" x14ac:dyDescent="0.2">
      <c r="A107" s="40">
        <v>55</v>
      </c>
      <c r="B107" s="40" t="s">
        <v>315</v>
      </c>
      <c r="C107" s="40" t="s">
        <v>282</v>
      </c>
      <c r="D107" s="40"/>
      <c r="E107" s="48">
        <v>20</v>
      </c>
    </row>
    <row r="108" spans="1:5" s="42" customFormat="1" x14ac:dyDescent="0.2">
      <c r="A108" s="40">
        <v>55</v>
      </c>
      <c r="B108" s="40" t="s">
        <v>316</v>
      </c>
      <c r="C108" s="40" t="s">
        <v>317</v>
      </c>
      <c r="D108" s="40"/>
      <c r="E108" s="48" t="s">
        <v>318</v>
      </c>
    </row>
    <row r="109" spans="1:5" s="42" customFormat="1" x14ac:dyDescent="0.2">
      <c r="A109" s="40">
        <v>55</v>
      </c>
      <c r="B109" s="40" t="s">
        <v>319</v>
      </c>
      <c r="C109" s="40" t="s">
        <v>320</v>
      </c>
      <c r="D109" s="40"/>
      <c r="E109" s="48">
        <v>2</v>
      </c>
    </row>
    <row r="110" spans="1:5" s="42" customFormat="1" x14ac:dyDescent="0.2">
      <c r="A110" s="40">
        <v>55</v>
      </c>
      <c r="B110" s="40" t="s">
        <v>321</v>
      </c>
      <c r="C110" s="40" t="s">
        <v>229</v>
      </c>
      <c r="D110" s="40"/>
      <c r="E110" s="48">
        <v>3</v>
      </c>
    </row>
    <row r="111" spans="1:5" s="42" customFormat="1" x14ac:dyDescent="0.2">
      <c r="A111" s="40">
        <v>55</v>
      </c>
      <c r="B111" s="40" t="s">
        <v>322</v>
      </c>
      <c r="C111" s="40" t="s">
        <v>206</v>
      </c>
      <c r="D111" s="40"/>
      <c r="E111" s="48">
        <v>3</v>
      </c>
    </row>
    <row r="112" spans="1:5" s="42" customFormat="1" x14ac:dyDescent="0.2">
      <c r="A112" s="40">
        <v>55</v>
      </c>
      <c r="B112" s="40" t="s">
        <v>323</v>
      </c>
      <c r="C112" s="40" t="s">
        <v>288</v>
      </c>
      <c r="D112" s="40"/>
      <c r="E112" s="48">
        <v>25</v>
      </c>
    </row>
    <row r="113" spans="1:5" s="42" customFormat="1" x14ac:dyDescent="0.2">
      <c r="A113" s="40">
        <v>55</v>
      </c>
      <c r="B113" s="40" t="s">
        <v>324</v>
      </c>
      <c r="C113" s="40" t="s">
        <v>305</v>
      </c>
      <c r="D113" s="40"/>
      <c r="E113" s="48">
        <v>22</v>
      </c>
    </row>
    <row r="114" spans="1:5" s="42" customFormat="1" x14ac:dyDescent="0.2">
      <c r="A114" s="40">
        <v>55</v>
      </c>
      <c r="B114" s="40" t="s">
        <v>325</v>
      </c>
      <c r="C114" s="40" t="s">
        <v>326</v>
      </c>
      <c r="D114" s="40"/>
      <c r="E114" s="48">
        <v>3</v>
      </c>
    </row>
    <row r="115" spans="1:5" s="42" customFormat="1" x14ac:dyDescent="0.2">
      <c r="A115" s="40">
        <v>55</v>
      </c>
      <c r="B115" s="40" t="s">
        <v>327</v>
      </c>
      <c r="C115" s="40" t="s">
        <v>191</v>
      </c>
      <c r="D115" s="40"/>
      <c r="E115" s="48">
        <v>29</v>
      </c>
    </row>
    <row r="116" spans="1:5" s="42" customFormat="1" x14ac:dyDescent="0.2">
      <c r="A116" s="40">
        <v>55</v>
      </c>
      <c r="B116" s="40" t="s">
        <v>328</v>
      </c>
      <c r="C116" s="40" t="s">
        <v>241</v>
      </c>
      <c r="D116" s="40"/>
      <c r="E116" s="48">
        <v>2</v>
      </c>
    </row>
    <row r="117" spans="1:5" s="42" customFormat="1" x14ac:dyDescent="0.2">
      <c r="A117" s="40">
        <v>55</v>
      </c>
      <c r="B117" s="40" t="s">
        <v>329</v>
      </c>
      <c r="C117" s="40" t="s">
        <v>330</v>
      </c>
      <c r="D117" s="40"/>
      <c r="E117" s="48">
        <v>6</v>
      </c>
    </row>
    <row r="118" spans="1:5" s="42" customFormat="1" x14ac:dyDescent="0.2">
      <c r="A118" s="40">
        <v>55</v>
      </c>
      <c r="B118" s="40" t="s">
        <v>331</v>
      </c>
      <c r="C118" s="40" t="s">
        <v>305</v>
      </c>
      <c r="D118" s="40"/>
      <c r="E118" s="48">
        <v>30</v>
      </c>
    </row>
    <row r="119" spans="1:5" s="42" customFormat="1" x14ac:dyDescent="0.2">
      <c r="A119" s="40">
        <v>55</v>
      </c>
      <c r="B119" s="40" t="s">
        <v>332</v>
      </c>
      <c r="C119" s="40" t="s">
        <v>305</v>
      </c>
      <c r="D119" s="40"/>
      <c r="E119" s="48">
        <v>30</v>
      </c>
    </row>
    <row r="120" spans="1:5" s="42" customFormat="1" x14ac:dyDescent="0.2">
      <c r="A120" s="40">
        <v>55</v>
      </c>
      <c r="B120" s="40" t="s">
        <v>333</v>
      </c>
      <c r="C120" s="40" t="s">
        <v>181</v>
      </c>
      <c r="D120" s="40"/>
      <c r="E120" s="48">
        <v>44</v>
      </c>
    </row>
    <row r="121" spans="1:5" s="42" customFormat="1" x14ac:dyDescent="0.2">
      <c r="A121" s="40">
        <v>55</v>
      </c>
      <c r="B121" s="40" t="s">
        <v>334</v>
      </c>
      <c r="C121" s="40" t="s">
        <v>181</v>
      </c>
      <c r="D121" s="40"/>
      <c r="E121" s="48">
        <v>43</v>
      </c>
    </row>
    <row r="122" spans="1:5" s="42" customFormat="1" x14ac:dyDescent="0.2">
      <c r="A122" s="40">
        <v>55</v>
      </c>
      <c r="B122" s="40" t="s">
        <v>335</v>
      </c>
      <c r="C122" s="40" t="s">
        <v>181</v>
      </c>
      <c r="D122" s="40"/>
      <c r="E122" s="48">
        <v>44</v>
      </c>
    </row>
    <row r="123" spans="1:5" s="42" customFormat="1" x14ac:dyDescent="0.2">
      <c r="A123" s="40">
        <v>55</v>
      </c>
      <c r="B123" s="40" t="s">
        <v>336</v>
      </c>
      <c r="C123" s="40" t="s">
        <v>181</v>
      </c>
      <c r="D123" s="40"/>
      <c r="E123" s="48">
        <v>24</v>
      </c>
    </row>
    <row r="124" spans="1:5" s="42" customFormat="1" x14ac:dyDescent="0.2">
      <c r="A124" s="40">
        <v>55</v>
      </c>
      <c r="B124" s="40" t="s">
        <v>337</v>
      </c>
      <c r="C124" s="40" t="s">
        <v>338</v>
      </c>
      <c r="D124" s="40"/>
      <c r="E124" s="48">
        <v>16</v>
      </c>
    </row>
    <row r="125" spans="1:5" s="42" customFormat="1" x14ac:dyDescent="0.2">
      <c r="A125" s="40">
        <v>55</v>
      </c>
      <c r="B125" s="40" t="s">
        <v>339</v>
      </c>
      <c r="C125" s="40" t="s">
        <v>181</v>
      </c>
      <c r="D125" s="40"/>
      <c r="E125" s="48">
        <v>25</v>
      </c>
    </row>
    <row r="126" spans="1:5" s="42" customFormat="1" x14ac:dyDescent="0.2">
      <c r="A126" s="40">
        <v>55</v>
      </c>
      <c r="B126" s="40" t="s">
        <v>340</v>
      </c>
      <c r="C126" s="40" t="s">
        <v>181</v>
      </c>
      <c r="D126" s="40"/>
      <c r="E126" s="48">
        <v>25</v>
      </c>
    </row>
    <row r="127" spans="1:5" s="42" customFormat="1" x14ac:dyDescent="0.2">
      <c r="A127" s="40">
        <v>55</v>
      </c>
      <c r="B127" s="40" t="s">
        <v>341</v>
      </c>
      <c r="C127" s="40" t="s">
        <v>181</v>
      </c>
      <c r="D127" s="40"/>
      <c r="E127" s="48">
        <v>13</v>
      </c>
    </row>
    <row r="128" spans="1:5" s="42" customFormat="1" x14ac:dyDescent="0.2">
      <c r="A128" s="40">
        <v>55</v>
      </c>
      <c r="B128" s="40" t="s">
        <v>342</v>
      </c>
      <c r="C128" s="40" t="s">
        <v>343</v>
      </c>
      <c r="D128" s="40"/>
      <c r="E128" s="48">
        <v>4</v>
      </c>
    </row>
    <row r="129" spans="1:5" s="42" customFormat="1" x14ac:dyDescent="0.2">
      <c r="A129" s="40">
        <v>55</v>
      </c>
      <c r="B129" s="40" t="s">
        <v>344</v>
      </c>
      <c r="C129" s="40" t="s">
        <v>345</v>
      </c>
      <c r="D129" s="40"/>
      <c r="E129" s="48">
        <v>3</v>
      </c>
    </row>
    <row r="130" spans="1:5" s="42" customFormat="1" x14ac:dyDescent="0.2">
      <c r="A130" s="40">
        <v>55</v>
      </c>
      <c r="B130" s="40" t="s">
        <v>346</v>
      </c>
      <c r="C130" s="40" t="s">
        <v>347</v>
      </c>
      <c r="D130" s="40"/>
      <c r="E130" s="48">
        <v>30</v>
      </c>
    </row>
    <row r="131" spans="1:5" s="42" customFormat="1" x14ac:dyDescent="0.2">
      <c r="A131" s="40">
        <v>55</v>
      </c>
      <c r="B131" s="40" t="s">
        <v>348</v>
      </c>
      <c r="C131" s="40" t="s">
        <v>349</v>
      </c>
      <c r="D131" s="40"/>
      <c r="E131" s="48">
        <v>1</v>
      </c>
    </row>
    <row r="132" spans="1:5" s="42" customFormat="1" x14ac:dyDescent="0.2">
      <c r="A132" s="40">
        <v>55</v>
      </c>
      <c r="B132" s="40" t="s">
        <v>350</v>
      </c>
      <c r="C132" s="40" t="s">
        <v>351</v>
      </c>
      <c r="D132" s="40"/>
      <c r="E132" s="48">
        <v>3</v>
      </c>
    </row>
    <row r="133" spans="1:5" s="42" customFormat="1" x14ac:dyDescent="0.2">
      <c r="A133" s="40">
        <v>55</v>
      </c>
      <c r="B133" s="40" t="s">
        <v>352</v>
      </c>
      <c r="C133" s="40" t="s">
        <v>179</v>
      </c>
      <c r="D133" s="40"/>
      <c r="E133" s="48">
        <v>34</v>
      </c>
    </row>
    <row r="134" spans="1:5" s="42" customFormat="1" x14ac:dyDescent="0.2">
      <c r="A134" s="40">
        <v>55</v>
      </c>
      <c r="B134" s="40" t="s">
        <v>353</v>
      </c>
      <c r="C134" s="40" t="s">
        <v>179</v>
      </c>
      <c r="D134" s="40"/>
      <c r="E134" s="48">
        <v>34</v>
      </c>
    </row>
    <row r="135" spans="1:5" s="42" customFormat="1" x14ac:dyDescent="0.2">
      <c r="A135" s="40">
        <v>55</v>
      </c>
      <c r="B135" s="40" t="s">
        <v>354</v>
      </c>
      <c r="C135" s="40" t="s">
        <v>191</v>
      </c>
      <c r="D135" s="40"/>
      <c r="E135" s="48">
        <v>39</v>
      </c>
    </row>
    <row r="136" spans="1:5" s="42" customFormat="1" x14ac:dyDescent="0.2">
      <c r="A136" s="40">
        <v>55</v>
      </c>
      <c r="B136" s="40" t="s">
        <v>355</v>
      </c>
      <c r="C136" s="40" t="s">
        <v>179</v>
      </c>
      <c r="D136" s="40"/>
      <c r="E136" s="48">
        <v>33</v>
      </c>
    </row>
    <row r="137" spans="1:5" s="42" customFormat="1" x14ac:dyDescent="0.2">
      <c r="A137" s="40">
        <v>55</v>
      </c>
      <c r="B137" s="40" t="s">
        <v>356</v>
      </c>
      <c r="C137" s="40" t="s">
        <v>179</v>
      </c>
      <c r="D137" s="40"/>
      <c r="E137" s="48">
        <v>33</v>
      </c>
    </row>
    <row r="138" spans="1:5" s="42" customFormat="1" x14ac:dyDescent="0.2">
      <c r="A138" s="40">
        <v>55</v>
      </c>
      <c r="B138" s="40" t="s">
        <v>357</v>
      </c>
      <c r="C138" s="40" t="s">
        <v>179</v>
      </c>
      <c r="D138" s="40"/>
      <c r="E138" s="48">
        <v>34</v>
      </c>
    </row>
    <row r="139" spans="1:5" s="42" customFormat="1" x14ac:dyDescent="0.2">
      <c r="A139" s="40">
        <v>55</v>
      </c>
      <c r="B139" s="40" t="s">
        <v>358</v>
      </c>
      <c r="C139" s="40" t="s">
        <v>179</v>
      </c>
      <c r="D139" s="40"/>
      <c r="E139" s="48">
        <v>34</v>
      </c>
    </row>
    <row r="140" spans="1:5" s="42" customFormat="1" x14ac:dyDescent="0.2">
      <c r="A140" s="40">
        <v>55</v>
      </c>
      <c r="B140" s="40" t="s">
        <v>359</v>
      </c>
      <c r="C140" s="40" t="s">
        <v>179</v>
      </c>
      <c r="D140" s="40"/>
      <c r="E140" s="48">
        <v>34</v>
      </c>
    </row>
    <row r="141" spans="1:5" s="42" customFormat="1" x14ac:dyDescent="0.2">
      <c r="A141" s="40">
        <v>56</v>
      </c>
      <c r="B141" s="40" t="s">
        <v>360</v>
      </c>
      <c r="C141" s="40" t="s">
        <v>361</v>
      </c>
      <c r="D141" s="40"/>
      <c r="E141" s="48">
        <v>22</v>
      </c>
    </row>
    <row r="142" spans="1:5" s="42" customFormat="1" x14ac:dyDescent="0.2">
      <c r="A142" s="40">
        <v>56</v>
      </c>
      <c r="B142" s="40" t="s">
        <v>362</v>
      </c>
      <c r="C142" s="40" t="s">
        <v>229</v>
      </c>
      <c r="D142" s="40"/>
      <c r="E142" s="48">
        <v>21</v>
      </c>
    </row>
    <row r="143" spans="1:5" s="42" customFormat="1" x14ac:dyDescent="0.2">
      <c r="A143" s="40">
        <v>56</v>
      </c>
      <c r="B143" s="40" t="s">
        <v>363</v>
      </c>
      <c r="C143" s="40" t="s">
        <v>191</v>
      </c>
      <c r="D143" s="40"/>
      <c r="E143" s="48">
        <v>21</v>
      </c>
    </row>
    <row r="144" spans="1:5" s="42" customFormat="1" x14ac:dyDescent="0.2">
      <c r="A144" s="40">
        <v>56</v>
      </c>
      <c r="B144" s="40" t="s">
        <v>364</v>
      </c>
      <c r="C144" s="40" t="s">
        <v>365</v>
      </c>
      <c r="D144" s="40"/>
      <c r="E144" s="48" t="s">
        <v>187</v>
      </c>
    </row>
    <row r="145" spans="1:5" s="42" customFormat="1" x14ac:dyDescent="0.2">
      <c r="A145" s="40">
        <v>56</v>
      </c>
      <c r="B145" s="40" t="s">
        <v>366</v>
      </c>
      <c r="C145" s="40" t="s">
        <v>367</v>
      </c>
      <c r="D145" s="40"/>
      <c r="E145" s="48">
        <v>7</v>
      </c>
    </row>
    <row r="146" spans="1:5" s="42" customFormat="1" x14ac:dyDescent="0.2">
      <c r="A146" s="40">
        <v>56</v>
      </c>
      <c r="B146" s="40" t="s">
        <v>368</v>
      </c>
      <c r="C146" s="40" t="s">
        <v>191</v>
      </c>
      <c r="D146" s="40"/>
      <c r="E146" s="48">
        <v>19</v>
      </c>
    </row>
    <row r="147" spans="1:5" s="42" customFormat="1" x14ac:dyDescent="0.2">
      <c r="A147" s="40">
        <v>56</v>
      </c>
      <c r="B147" s="40" t="s">
        <v>369</v>
      </c>
      <c r="C147" s="40" t="s">
        <v>223</v>
      </c>
      <c r="D147" s="40"/>
      <c r="E147" s="48">
        <v>2</v>
      </c>
    </row>
    <row r="148" spans="1:5" s="42" customFormat="1" x14ac:dyDescent="0.2">
      <c r="A148" s="40">
        <v>56</v>
      </c>
      <c r="B148" s="40" t="s">
        <v>370</v>
      </c>
      <c r="C148" s="40" t="s">
        <v>191</v>
      </c>
      <c r="D148" s="40"/>
      <c r="E148" s="48">
        <v>37</v>
      </c>
    </row>
    <row r="149" spans="1:5" s="42" customFormat="1" x14ac:dyDescent="0.2">
      <c r="A149" s="40">
        <v>56</v>
      </c>
      <c r="B149" s="40" t="s">
        <v>371</v>
      </c>
      <c r="C149" s="40" t="s">
        <v>175</v>
      </c>
      <c r="D149" s="40"/>
      <c r="E149" s="48" t="s">
        <v>187</v>
      </c>
    </row>
    <row r="150" spans="1:5" s="42" customFormat="1" x14ac:dyDescent="0.2">
      <c r="A150" s="40">
        <v>56</v>
      </c>
      <c r="B150" s="40" t="s">
        <v>372</v>
      </c>
      <c r="C150" s="40" t="s">
        <v>186</v>
      </c>
      <c r="D150" s="40"/>
      <c r="E150" s="48">
        <v>10</v>
      </c>
    </row>
    <row r="151" spans="1:5" s="42" customFormat="1" x14ac:dyDescent="0.2">
      <c r="A151" s="40">
        <v>56</v>
      </c>
      <c r="B151" s="40" t="s">
        <v>373</v>
      </c>
      <c r="C151" s="40" t="s">
        <v>374</v>
      </c>
      <c r="D151" s="40"/>
      <c r="E151" s="48">
        <v>25</v>
      </c>
    </row>
    <row r="152" spans="1:5" s="42" customFormat="1" x14ac:dyDescent="0.2">
      <c r="A152" s="40">
        <v>56</v>
      </c>
      <c r="B152" s="40" t="s">
        <v>375</v>
      </c>
      <c r="C152" s="40" t="s">
        <v>374</v>
      </c>
      <c r="D152" s="40"/>
      <c r="E152" s="48">
        <v>25</v>
      </c>
    </row>
    <row r="153" spans="1:5" s="42" customFormat="1" x14ac:dyDescent="0.2">
      <c r="A153" s="40">
        <v>56</v>
      </c>
      <c r="B153" s="40" t="s">
        <v>376</v>
      </c>
      <c r="C153" s="40" t="s">
        <v>374</v>
      </c>
      <c r="D153" s="40"/>
      <c r="E153" s="48">
        <v>14</v>
      </c>
    </row>
    <row r="154" spans="1:5" s="42" customFormat="1" x14ac:dyDescent="0.2">
      <c r="A154" s="40">
        <v>56</v>
      </c>
      <c r="B154" s="40" t="s">
        <v>377</v>
      </c>
      <c r="C154" s="40" t="s">
        <v>374</v>
      </c>
      <c r="D154" s="40"/>
      <c r="E154" s="48">
        <v>26</v>
      </c>
    </row>
    <row r="155" spans="1:5" s="42" customFormat="1" x14ac:dyDescent="0.2">
      <c r="A155" s="40">
        <v>56</v>
      </c>
      <c r="B155" s="40" t="s">
        <v>378</v>
      </c>
      <c r="C155" s="40" t="s">
        <v>379</v>
      </c>
      <c r="D155" s="40"/>
      <c r="E155" s="48">
        <v>1</v>
      </c>
    </row>
    <row r="156" spans="1:5" s="42" customFormat="1" x14ac:dyDescent="0.2">
      <c r="A156" s="40">
        <v>56</v>
      </c>
      <c r="B156" s="40" t="s">
        <v>364</v>
      </c>
      <c r="C156" s="40" t="s">
        <v>249</v>
      </c>
      <c r="D156" s="40"/>
      <c r="E156" s="48">
        <v>1</v>
      </c>
    </row>
    <row r="157" spans="1:5" s="42" customFormat="1" x14ac:dyDescent="0.2">
      <c r="A157" s="40">
        <v>56</v>
      </c>
      <c r="B157" s="40" t="s">
        <v>380</v>
      </c>
      <c r="C157" s="40" t="s">
        <v>381</v>
      </c>
      <c r="D157" s="40"/>
      <c r="E157" s="48">
        <v>4</v>
      </c>
    </row>
    <row r="158" spans="1:5" s="42" customFormat="1" x14ac:dyDescent="0.2">
      <c r="A158" s="40">
        <v>56</v>
      </c>
      <c r="B158" s="40" t="s">
        <v>382</v>
      </c>
      <c r="C158" s="40" t="s">
        <v>383</v>
      </c>
      <c r="D158" s="40"/>
      <c r="E158" s="48">
        <v>8</v>
      </c>
    </row>
    <row r="159" spans="1:5" s="42" customFormat="1" x14ac:dyDescent="0.2">
      <c r="A159" s="40">
        <v>56</v>
      </c>
      <c r="B159" s="40" t="s">
        <v>364</v>
      </c>
      <c r="C159" s="40" t="s">
        <v>384</v>
      </c>
      <c r="D159" s="40"/>
      <c r="E159" s="48">
        <v>10</v>
      </c>
    </row>
    <row r="160" spans="1:5" s="42" customFormat="1" x14ac:dyDescent="0.2">
      <c r="A160" s="40">
        <v>56</v>
      </c>
      <c r="B160" s="40" t="s">
        <v>364</v>
      </c>
      <c r="C160" s="40" t="s">
        <v>384</v>
      </c>
      <c r="D160" s="40"/>
      <c r="E160" s="48">
        <v>31</v>
      </c>
    </row>
    <row r="161" spans="1:5" s="42" customFormat="1" x14ac:dyDescent="0.2">
      <c r="A161" s="40">
        <v>56</v>
      </c>
      <c r="B161" s="40" t="s">
        <v>385</v>
      </c>
      <c r="C161" s="40" t="s">
        <v>386</v>
      </c>
      <c r="D161" s="40"/>
      <c r="E161" s="48">
        <v>6</v>
      </c>
    </row>
    <row r="162" spans="1:5" s="42" customFormat="1" x14ac:dyDescent="0.2">
      <c r="A162" s="40">
        <v>56</v>
      </c>
      <c r="B162" s="40" t="s">
        <v>387</v>
      </c>
      <c r="C162" s="40" t="s">
        <v>388</v>
      </c>
      <c r="D162" s="40"/>
      <c r="E162" s="48">
        <v>9</v>
      </c>
    </row>
    <row r="163" spans="1:5" s="42" customFormat="1" x14ac:dyDescent="0.2">
      <c r="A163" s="40">
        <v>56</v>
      </c>
      <c r="B163" s="40" t="s">
        <v>389</v>
      </c>
      <c r="C163" s="40" t="s">
        <v>390</v>
      </c>
      <c r="D163" s="40"/>
      <c r="E163" s="48">
        <v>18</v>
      </c>
    </row>
    <row r="164" spans="1:5" s="42" customFormat="1" x14ac:dyDescent="0.2">
      <c r="A164" s="40">
        <v>56</v>
      </c>
      <c r="B164" s="40" t="s">
        <v>391</v>
      </c>
      <c r="C164" s="40" t="s">
        <v>392</v>
      </c>
      <c r="D164" s="40"/>
      <c r="E164" s="48">
        <v>1</v>
      </c>
    </row>
    <row r="165" spans="1:5" s="42" customFormat="1" x14ac:dyDescent="0.2">
      <c r="A165" s="40">
        <v>56</v>
      </c>
      <c r="B165" s="40" t="s">
        <v>393</v>
      </c>
      <c r="C165" s="40" t="s">
        <v>390</v>
      </c>
      <c r="D165" s="40"/>
      <c r="E165" s="48">
        <v>25</v>
      </c>
    </row>
    <row r="166" spans="1:5" s="42" customFormat="1" x14ac:dyDescent="0.2">
      <c r="A166" s="40">
        <v>56</v>
      </c>
      <c r="B166" s="40" t="s">
        <v>394</v>
      </c>
      <c r="C166" s="40" t="s">
        <v>296</v>
      </c>
      <c r="D166" s="40"/>
      <c r="E166" s="48">
        <v>2</v>
      </c>
    </row>
    <row r="167" spans="1:5" s="42" customFormat="1" x14ac:dyDescent="0.2">
      <c r="A167" s="40">
        <v>56</v>
      </c>
      <c r="B167" s="40" t="s">
        <v>395</v>
      </c>
      <c r="C167" s="40" t="s">
        <v>251</v>
      </c>
      <c r="D167" s="40"/>
      <c r="E167" s="48">
        <v>5</v>
      </c>
    </row>
    <row r="168" spans="1:5" s="42" customFormat="1" x14ac:dyDescent="0.2">
      <c r="A168" s="40">
        <v>56</v>
      </c>
      <c r="B168" s="40" t="s">
        <v>396</v>
      </c>
      <c r="C168" s="40" t="s">
        <v>181</v>
      </c>
      <c r="D168" s="40"/>
      <c r="E168" s="48">
        <v>33</v>
      </c>
    </row>
    <row r="169" spans="1:5" s="42" customFormat="1" x14ac:dyDescent="0.2">
      <c r="A169" s="40">
        <v>56</v>
      </c>
      <c r="B169" s="40" t="s">
        <v>397</v>
      </c>
      <c r="C169" s="40" t="s">
        <v>251</v>
      </c>
      <c r="D169" s="40"/>
      <c r="E169" s="48">
        <v>9</v>
      </c>
    </row>
    <row r="170" spans="1:5" s="42" customFormat="1" x14ac:dyDescent="0.2">
      <c r="A170" s="40">
        <v>56</v>
      </c>
      <c r="B170" s="40" t="s">
        <v>398</v>
      </c>
      <c r="C170" s="40" t="s">
        <v>181</v>
      </c>
      <c r="D170" s="40"/>
      <c r="E170" s="48">
        <v>44</v>
      </c>
    </row>
    <row r="171" spans="1:5" s="42" customFormat="1" x14ac:dyDescent="0.2">
      <c r="A171" s="40">
        <v>56</v>
      </c>
      <c r="B171" s="40" t="s">
        <v>399</v>
      </c>
      <c r="C171" s="40" t="s">
        <v>388</v>
      </c>
      <c r="D171" s="40"/>
      <c r="E171" s="48">
        <v>3</v>
      </c>
    </row>
    <row r="172" spans="1:5" s="42" customFormat="1" x14ac:dyDescent="0.2">
      <c r="A172" s="40">
        <v>56</v>
      </c>
      <c r="B172" s="40" t="s">
        <v>400</v>
      </c>
      <c r="C172" s="40" t="s">
        <v>401</v>
      </c>
      <c r="D172" s="40"/>
      <c r="E172" s="48">
        <v>7</v>
      </c>
    </row>
    <row r="173" spans="1:5" s="42" customFormat="1" x14ac:dyDescent="0.2">
      <c r="A173" s="40">
        <v>56</v>
      </c>
      <c r="B173" s="40" t="s">
        <v>402</v>
      </c>
      <c r="C173" s="40" t="s">
        <v>186</v>
      </c>
      <c r="D173" s="40"/>
      <c r="E173" s="48">
        <v>10</v>
      </c>
    </row>
    <row r="174" spans="1:5" s="42" customFormat="1" x14ac:dyDescent="0.2">
      <c r="A174" s="40">
        <v>56</v>
      </c>
      <c r="B174" s="40" t="s">
        <v>403</v>
      </c>
      <c r="C174" s="40" t="s">
        <v>186</v>
      </c>
      <c r="D174" s="40"/>
      <c r="E174" s="48">
        <v>25</v>
      </c>
    </row>
    <row r="175" spans="1:5" s="42" customFormat="1" x14ac:dyDescent="0.2">
      <c r="A175" s="40">
        <v>56</v>
      </c>
      <c r="B175" s="40" t="s">
        <v>404</v>
      </c>
      <c r="C175" s="40" t="s">
        <v>186</v>
      </c>
      <c r="D175" s="40"/>
      <c r="E175" s="48">
        <v>25</v>
      </c>
    </row>
    <row r="176" spans="1:5" s="42" customFormat="1" x14ac:dyDescent="0.2">
      <c r="A176" s="40">
        <v>56</v>
      </c>
      <c r="B176" s="40" t="s">
        <v>405</v>
      </c>
      <c r="C176" s="40" t="s">
        <v>186</v>
      </c>
      <c r="D176" s="40"/>
      <c r="E176" s="48">
        <v>25</v>
      </c>
    </row>
    <row r="177" spans="1:5" s="42" customFormat="1" x14ac:dyDescent="0.2">
      <c r="A177" s="40">
        <v>56</v>
      </c>
      <c r="B177" s="40" t="s">
        <v>406</v>
      </c>
      <c r="C177" s="40" t="s">
        <v>186</v>
      </c>
      <c r="D177" s="40"/>
      <c r="E177" s="48">
        <v>25</v>
      </c>
    </row>
    <row r="178" spans="1:5" s="42" customFormat="1" x14ac:dyDescent="0.2">
      <c r="A178" s="40">
        <v>56</v>
      </c>
      <c r="B178" s="40" t="s">
        <v>407</v>
      </c>
      <c r="C178" s="40" t="s">
        <v>186</v>
      </c>
      <c r="D178" s="40"/>
      <c r="E178" s="48">
        <v>25</v>
      </c>
    </row>
    <row r="179" spans="1:5" s="42" customFormat="1" x14ac:dyDescent="0.2">
      <c r="A179" s="40">
        <v>56</v>
      </c>
      <c r="B179" s="40" t="s">
        <v>408</v>
      </c>
      <c r="C179" s="40" t="s">
        <v>181</v>
      </c>
      <c r="D179" s="40"/>
      <c r="E179" s="48">
        <v>25</v>
      </c>
    </row>
    <row r="180" spans="1:5" s="42" customFormat="1" x14ac:dyDescent="0.2">
      <c r="A180" s="40">
        <v>56</v>
      </c>
      <c r="B180" s="40" t="s">
        <v>409</v>
      </c>
      <c r="C180" s="40" t="s">
        <v>181</v>
      </c>
      <c r="D180" s="40"/>
      <c r="E180" s="48">
        <v>25</v>
      </c>
    </row>
    <row r="181" spans="1:5" s="42" customFormat="1" x14ac:dyDescent="0.2">
      <c r="A181" s="40">
        <v>56</v>
      </c>
      <c r="B181" s="40" t="s">
        <v>410</v>
      </c>
      <c r="C181" s="40" t="s">
        <v>186</v>
      </c>
      <c r="D181" s="40"/>
      <c r="E181" s="48">
        <v>25</v>
      </c>
    </row>
    <row r="182" spans="1:5" s="42" customFormat="1" x14ac:dyDescent="0.2">
      <c r="A182" s="40">
        <v>56</v>
      </c>
      <c r="B182" s="40" t="s">
        <v>411</v>
      </c>
      <c r="C182" s="40" t="s">
        <v>186</v>
      </c>
      <c r="D182" s="40"/>
      <c r="E182" s="48">
        <v>25</v>
      </c>
    </row>
    <row r="183" spans="1:5" s="42" customFormat="1" x14ac:dyDescent="0.2">
      <c r="A183" s="40">
        <v>56</v>
      </c>
      <c r="B183" s="40" t="s">
        <v>412</v>
      </c>
      <c r="C183" s="40" t="s">
        <v>186</v>
      </c>
      <c r="D183" s="40"/>
      <c r="E183" s="48">
        <v>25</v>
      </c>
    </row>
    <row r="184" spans="1:5" s="42" customFormat="1" x14ac:dyDescent="0.2">
      <c r="A184" s="40">
        <v>56</v>
      </c>
      <c r="B184" s="40" t="s">
        <v>413</v>
      </c>
      <c r="C184" s="40" t="s">
        <v>186</v>
      </c>
      <c r="D184" s="40"/>
      <c r="E184" s="48">
        <v>25</v>
      </c>
    </row>
    <row r="185" spans="1:5" s="42" customFormat="1" x14ac:dyDescent="0.2">
      <c r="A185" s="40">
        <v>56</v>
      </c>
      <c r="B185" s="40" t="s">
        <v>414</v>
      </c>
      <c r="C185" s="40" t="s">
        <v>415</v>
      </c>
      <c r="D185" s="40"/>
      <c r="E185" s="48">
        <v>2</v>
      </c>
    </row>
    <row r="186" spans="1:5" s="42" customFormat="1" x14ac:dyDescent="0.2">
      <c r="A186" s="40">
        <v>56</v>
      </c>
      <c r="B186" s="40" t="s">
        <v>318</v>
      </c>
      <c r="C186" s="40" t="s">
        <v>416</v>
      </c>
      <c r="D186" s="40"/>
      <c r="E186" s="48">
        <v>25</v>
      </c>
    </row>
    <row r="187" spans="1:5" x14ac:dyDescent="0.2"/>
  </sheetData>
  <customSheetViews>
    <customSheetView guid="{747F537D-AE5A-42D1-81B5-51FBA5D2020E}" hiddenColumns="1">
      <selection activeCell="B65" sqref="B65"/>
      <pageMargins left="0" right="0" top="0" bottom="0" header="0" footer="0"/>
    </customSheetView>
  </customSheetViews>
  <mergeCells count="1">
    <mergeCell ref="A1:E1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A183-770D-4C42-BD13-A01A58F1277F}">
  <dimension ref="A1:XFC159"/>
  <sheetViews>
    <sheetView workbookViewId="0">
      <selection activeCell="E19" sqref="E19"/>
    </sheetView>
  </sheetViews>
  <sheetFormatPr defaultColWidth="0" defaultRowHeight="15" zeroHeight="1" x14ac:dyDescent="0.2"/>
  <cols>
    <col min="1" max="1" width="8.609375" style="7" customWidth="1"/>
    <col min="2" max="2" width="13.31640625" style="7" customWidth="1"/>
    <col min="3" max="3" width="10.22265625" style="7" customWidth="1"/>
    <col min="4" max="4" width="32.8203125" style="15" customWidth="1"/>
    <col min="5" max="5" width="11.56640625" style="15" customWidth="1"/>
    <col min="6" max="6" width="8.47265625" style="22" bestFit="1" customWidth="1"/>
    <col min="7" max="27" width="0" hidden="1" customWidth="1"/>
    <col min="28" max="16383" width="9.14453125" hidden="1"/>
    <col min="16384" max="16384" width="0.40234375" customWidth="1"/>
  </cols>
  <sheetData>
    <row r="1" spans="1:26" s="67" customFormat="1" ht="21" x14ac:dyDescent="0.3">
      <c r="A1" s="116" t="s">
        <v>417</v>
      </c>
      <c r="B1" s="121"/>
      <c r="C1" s="121"/>
      <c r="D1" s="121"/>
      <c r="E1" s="121"/>
      <c r="F1" s="122"/>
      <c r="G1" s="66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s="52" customFormat="1" x14ac:dyDescent="0.2">
      <c r="A2" s="44" t="s">
        <v>418</v>
      </c>
      <c r="B2" s="44" t="s">
        <v>167</v>
      </c>
      <c r="C2" s="44" t="s">
        <v>419</v>
      </c>
      <c r="D2" s="50" t="s">
        <v>168</v>
      </c>
      <c r="E2" s="50" t="s">
        <v>815</v>
      </c>
      <c r="F2" s="51" t="s">
        <v>169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s="58" customFormat="1" x14ac:dyDescent="0.2">
      <c r="A3" s="53">
        <v>1</v>
      </c>
      <c r="B3" s="53" t="s">
        <v>420</v>
      </c>
      <c r="C3" s="53" t="s">
        <v>421</v>
      </c>
      <c r="D3" s="54" t="s">
        <v>422</v>
      </c>
      <c r="E3" s="54" t="s">
        <v>871</v>
      </c>
      <c r="F3" s="55">
        <v>10</v>
      </c>
      <c r="G3" s="56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s="58" customFormat="1" x14ac:dyDescent="0.2">
      <c r="A4" s="53">
        <v>1</v>
      </c>
      <c r="B4" s="53" t="s">
        <v>423</v>
      </c>
      <c r="C4" s="53" t="s">
        <v>421</v>
      </c>
      <c r="D4" s="54" t="s">
        <v>424</v>
      </c>
      <c r="E4" s="54" t="s">
        <v>871</v>
      </c>
      <c r="F4" s="55">
        <v>40</v>
      </c>
    </row>
    <row r="5" spans="1:26" s="58" customFormat="1" x14ac:dyDescent="0.2">
      <c r="A5" s="53">
        <v>1</v>
      </c>
      <c r="B5" s="53" t="s">
        <v>425</v>
      </c>
      <c r="C5" s="53" t="s">
        <v>426</v>
      </c>
      <c r="D5" s="54" t="s">
        <v>427</v>
      </c>
      <c r="E5" s="54" t="s">
        <v>871</v>
      </c>
      <c r="F5" s="55">
        <v>6</v>
      </c>
    </row>
    <row r="6" spans="1:26" s="58" customFormat="1" x14ac:dyDescent="0.2">
      <c r="A6" s="53">
        <v>1</v>
      </c>
      <c r="B6" s="53" t="s">
        <v>428</v>
      </c>
      <c r="C6" s="53" t="s">
        <v>421</v>
      </c>
      <c r="D6" s="54" t="s">
        <v>424</v>
      </c>
      <c r="E6" s="54" t="s">
        <v>871</v>
      </c>
      <c r="F6" s="55">
        <v>3</v>
      </c>
    </row>
    <row r="7" spans="1:26" s="58" customFormat="1" x14ac:dyDescent="0.2">
      <c r="A7" s="53">
        <v>1</v>
      </c>
      <c r="B7" s="53" t="s">
        <v>429</v>
      </c>
      <c r="C7" s="53" t="s">
        <v>421</v>
      </c>
      <c r="D7" s="54" t="s">
        <v>424</v>
      </c>
      <c r="E7" s="54" t="s">
        <v>871</v>
      </c>
      <c r="F7" s="55">
        <v>3</v>
      </c>
    </row>
    <row r="8" spans="1:26" s="58" customFormat="1" x14ac:dyDescent="0.2">
      <c r="A8" s="53">
        <v>1</v>
      </c>
      <c r="B8" s="53" t="s">
        <v>430</v>
      </c>
      <c r="C8" s="53" t="s">
        <v>426</v>
      </c>
      <c r="D8" s="54" t="s">
        <v>431</v>
      </c>
      <c r="E8" s="54" t="s">
        <v>871</v>
      </c>
      <c r="F8" s="55">
        <v>1</v>
      </c>
    </row>
    <row r="9" spans="1:26" s="58" customFormat="1" x14ac:dyDescent="0.2">
      <c r="A9" s="53">
        <v>1</v>
      </c>
      <c r="B9" s="53" t="s">
        <v>432</v>
      </c>
      <c r="C9" s="53" t="s">
        <v>421</v>
      </c>
      <c r="D9" s="54" t="s">
        <v>433</v>
      </c>
      <c r="E9" s="54" t="s">
        <v>871</v>
      </c>
      <c r="F9" s="55">
        <v>40</v>
      </c>
    </row>
    <row r="10" spans="1:26" s="58" customFormat="1" x14ac:dyDescent="0.2">
      <c r="A10" s="53">
        <v>1</v>
      </c>
      <c r="B10" s="53" t="s">
        <v>434</v>
      </c>
      <c r="C10" s="53" t="s">
        <v>426</v>
      </c>
      <c r="D10" s="54" t="s">
        <v>435</v>
      </c>
      <c r="E10" s="54" t="s">
        <v>871</v>
      </c>
      <c r="F10" s="55">
        <v>6</v>
      </c>
    </row>
    <row r="11" spans="1:26" s="58" customFormat="1" x14ac:dyDescent="0.2">
      <c r="A11" s="53">
        <v>1</v>
      </c>
      <c r="B11" s="53" t="s">
        <v>436</v>
      </c>
      <c r="C11" s="53" t="s">
        <v>318</v>
      </c>
      <c r="D11" s="54" t="s">
        <v>318</v>
      </c>
      <c r="E11" s="54" t="s">
        <v>871</v>
      </c>
      <c r="F11" s="55">
        <v>6</v>
      </c>
    </row>
    <row r="12" spans="1:26" s="58" customFormat="1" x14ac:dyDescent="0.2">
      <c r="A12" s="53">
        <v>1</v>
      </c>
      <c r="B12" s="53" t="s">
        <v>437</v>
      </c>
      <c r="C12" s="53" t="s">
        <v>438</v>
      </c>
      <c r="D12" s="54" t="s">
        <v>439</v>
      </c>
      <c r="E12" s="54" t="s">
        <v>871</v>
      </c>
      <c r="F12" s="55">
        <v>1</v>
      </c>
    </row>
    <row r="13" spans="1:26" s="58" customFormat="1" x14ac:dyDescent="0.2">
      <c r="A13" s="53">
        <v>1</v>
      </c>
      <c r="B13" s="53" t="s">
        <v>440</v>
      </c>
      <c r="C13" s="53" t="s">
        <v>421</v>
      </c>
      <c r="D13" s="54" t="s">
        <v>441</v>
      </c>
      <c r="E13" s="54" t="s">
        <v>871</v>
      </c>
      <c r="F13" s="55">
        <v>7</v>
      </c>
    </row>
    <row r="14" spans="1:26" s="58" customFormat="1" x14ac:dyDescent="0.2">
      <c r="A14" s="53">
        <v>1</v>
      </c>
      <c r="B14" s="53" t="s">
        <v>442</v>
      </c>
      <c r="C14" s="53" t="s">
        <v>421</v>
      </c>
      <c r="D14" s="54" t="s">
        <v>443</v>
      </c>
      <c r="E14" s="54" t="s">
        <v>871</v>
      </c>
      <c r="F14" s="55">
        <v>3</v>
      </c>
    </row>
    <row r="15" spans="1:26" s="58" customFormat="1" x14ac:dyDescent="0.2">
      <c r="A15" s="53">
        <v>1</v>
      </c>
      <c r="B15" s="53" t="s">
        <v>444</v>
      </c>
      <c r="C15" s="53" t="s">
        <v>421</v>
      </c>
      <c r="D15" s="54" t="s">
        <v>445</v>
      </c>
      <c r="E15" s="54" t="s">
        <v>871</v>
      </c>
      <c r="F15" s="55">
        <v>8</v>
      </c>
    </row>
    <row r="16" spans="1:26" s="58" customFormat="1" x14ac:dyDescent="0.2">
      <c r="A16" s="53">
        <v>1</v>
      </c>
      <c r="B16" s="53" t="s">
        <v>446</v>
      </c>
      <c r="C16" s="53" t="s">
        <v>421</v>
      </c>
      <c r="D16" s="54" t="s">
        <v>447</v>
      </c>
      <c r="E16" s="54" t="s">
        <v>871</v>
      </c>
      <c r="F16" s="55">
        <v>3</v>
      </c>
    </row>
    <row r="17" spans="1:6" s="58" customFormat="1" x14ac:dyDescent="0.2">
      <c r="A17" s="53">
        <v>1</v>
      </c>
      <c r="B17" s="53" t="s">
        <v>448</v>
      </c>
      <c r="C17" s="53" t="s">
        <v>421</v>
      </c>
      <c r="D17" s="54" t="s">
        <v>424</v>
      </c>
      <c r="E17" s="54" t="s">
        <v>871</v>
      </c>
      <c r="F17" s="55">
        <v>39</v>
      </c>
    </row>
    <row r="18" spans="1:6" s="58" customFormat="1" x14ac:dyDescent="0.2">
      <c r="A18" s="53">
        <v>1</v>
      </c>
      <c r="B18" s="53" t="s">
        <v>449</v>
      </c>
      <c r="C18" s="53" t="s">
        <v>426</v>
      </c>
      <c r="D18" s="54" t="s">
        <v>450</v>
      </c>
      <c r="E18" s="54" t="s">
        <v>872</v>
      </c>
      <c r="F18" s="55">
        <v>2</v>
      </c>
    </row>
    <row r="19" spans="1:6" s="58" customFormat="1" x14ac:dyDescent="0.2">
      <c r="A19" s="53">
        <v>1</v>
      </c>
      <c r="B19" s="53" t="s">
        <v>451</v>
      </c>
      <c r="C19" s="53" t="s">
        <v>452</v>
      </c>
      <c r="D19" s="54" t="s">
        <v>435</v>
      </c>
      <c r="E19" s="54" t="s">
        <v>871</v>
      </c>
      <c r="F19" s="55">
        <v>4</v>
      </c>
    </row>
    <row r="20" spans="1:6" s="58" customFormat="1" x14ac:dyDescent="0.2">
      <c r="A20" s="53">
        <v>1</v>
      </c>
      <c r="B20" s="53" t="s">
        <v>453</v>
      </c>
      <c r="C20" s="53" t="s">
        <v>454</v>
      </c>
      <c r="D20" s="54" t="s">
        <v>455</v>
      </c>
      <c r="E20" s="54" t="s">
        <v>871</v>
      </c>
      <c r="F20" s="55">
        <v>35</v>
      </c>
    </row>
    <row r="21" spans="1:6" s="58" customFormat="1" x14ac:dyDescent="0.2">
      <c r="A21" s="53">
        <v>3</v>
      </c>
      <c r="B21" s="53" t="s">
        <v>456</v>
      </c>
      <c r="C21" s="53" t="s">
        <v>457</v>
      </c>
      <c r="D21" s="54" t="s">
        <v>458</v>
      </c>
      <c r="E21" s="54" t="s">
        <v>871</v>
      </c>
      <c r="F21" s="55">
        <v>40</v>
      </c>
    </row>
    <row r="22" spans="1:6" s="58" customFormat="1" x14ac:dyDescent="0.2">
      <c r="A22" s="53">
        <v>3</v>
      </c>
      <c r="B22" s="53" t="s">
        <v>459</v>
      </c>
      <c r="C22" s="53" t="s">
        <v>426</v>
      </c>
      <c r="D22" s="54" t="s">
        <v>460</v>
      </c>
      <c r="E22" s="54" t="s">
        <v>871</v>
      </c>
      <c r="F22" s="55">
        <v>4</v>
      </c>
    </row>
    <row r="23" spans="1:6" s="58" customFormat="1" x14ac:dyDescent="0.2">
      <c r="A23" s="53">
        <v>3</v>
      </c>
      <c r="B23" s="53" t="s">
        <v>318</v>
      </c>
      <c r="C23" s="53" t="s">
        <v>318</v>
      </c>
      <c r="D23" s="54" t="s">
        <v>461</v>
      </c>
      <c r="E23" s="54" t="s">
        <v>871</v>
      </c>
      <c r="F23" s="55">
        <v>2</v>
      </c>
    </row>
    <row r="24" spans="1:6" s="58" customFormat="1" x14ac:dyDescent="0.2">
      <c r="A24" s="53">
        <v>3</v>
      </c>
      <c r="B24" s="53" t="s">
        <v>462</v>
      </c>
      <c r="C24" s="53" t="s">
        <v>452</v>
      </c>
      <c r="D24" s="54" t="s">
        <v>463</v>
      </c>
      <c r="E24" s="54" t="s">
        <v>871</v>
      </c>
      <c r="F24" s="55">
        <v>11</v>
      </c>
    </row>
    <row r="25" spans="1:6" s="58" customFormat="1" x14ac:dyDescent="0.2">
      <c r="A25" s="53">
        <v>3</v>
      </c>
      <c r="B25" s="53" t="s">
        <v>464</v>
      </c>
      <c r="C25" s="53" t="s">
        <v>421</v>
      </c>
      <c r="D25" s="54" t="s">
        <v>458</v>
      </c>
      <c r="E25" s="54" t="s">
        <v>871</v>
      </c>
      <c r="F25" s="55">
        <v>31</v>
      </c>
    </row>
    <row r="26" spans="1:6" s="58" customFormat="1" x14ac:dyDescent="0.2">
      <c r="A26" s="53">
        <v>3</v>
      </c>
      <c r="B26" s="53" t="s">
        <v>465</v>
      </c>
      <c r="C26" s="53" t="s">
        <v>318</v>
      </c>
      <c r="D26" s="54" t="s">
        <v>455</v>
      </c>
      <c r="E26" s="54" t="s">
        <v>871</v>
      </c>
      <c r="F26" s="55">
        <v>9</v>
      </c>
    </row>
    <row r="27" spans="1:6" s="58" customFormat="1" x14ac:dyDescent="0.2">
      <c r="A27" s="53">
        <v>3</v>
      </c>
      <c r="B27" s="53" t="s">
        <v>466</v>
      </c>
      <c r="C27" s="53" t="s">
        <v>421</v>
      </c>
      <c r="D27" s="54" t="s">
        <v>467</v>
      </c>
      <c r="E27" s="54" t="s">
        <v>871</v>
      </c>
      <c r="F27" s="55">
        <v>4</v>
      </c>
    </row>
    <row r="28" spans="1:6" s="58" customFormat="1" x14ac:dyDescent="0.2">
      <c r="A28" s="53">
        <v>3</v>
      </c>
      <c r="B28" s="53" t="s">
        <v>468</v>
      </c>
      <c r="C28" s="53" t="s">
        <v>318</v>
      </c>
      <c r="D28" s="54" t="s">
        <v>469</v>
      </c>
      <c r="E28" s="54" t="s">
        <v>871</v>
      </c>
      <c r="F28" s="55">
        <v>2</v>
      </c>
    </row>
    <row r="29" spans="1:6" s="58" customFormat="1" x14ac:dyDescent="0.2">
      <c r="A29" s="53">
        <v>3</v>
      </c>
      <c r="B29" s="53" t="s">
        <v>470</v>
      </c>
      <c r="C29" s="53" t="s">
        <v>452</v>
      </c>
      <c r="D29" s="54" t="s">
        <v>471</v>
      </c>
      <c r="E29" s="54" t="s">
        <v>871</v>
      </c>
      <c r="F29" s="55">
        <v>6</v>
      </c>
    </row>
    <row r="30" spans="1:6" s="58" customFormat="1" x14ac:dyDescent="0.2">
      <c r="A30" s="53">
        <v>3</v>
      </c>
      <c r="B30" s="53" t="s">
        <v>472</v>
      </c>
      <c r="C30" s="53" t="s">
        <v>318</v>
      </c>
      <c r="D30" s="54" t="s">
        <v>473</v>
      </c>
      <c r="E30" s="54" t="s">
        <v>871</v>
      </c>
      <c r="F30" s="55">
        <v>2</v>
      </c>
    </row>
    <row r="31" spans="1:6" s="58" customFormat="1" x14ac:dyDescent="0.2">
      <c r="A31" s="53">
        <v>3</v>
      </c>
      <c r="B31" s="53" t="s">
        <v>474</v>
      </c>
      <c r="C31" s="53" t="s">
        <v>452</v>
      </c>
      <c r="D31" s="54" t="s">
        <v>475</v>
      </c>
      <c r="E31" s="54" t="s">
        <v>871</v>
      </c>
      <c r="F31" s="55">
        <v>2</v>
      </c>
    </row>
    <row r="32" spans="1:6" s="58" customFormat="1" x14ac:dyDescent="0.2">
      <c r="A32" s="53">
        <v>3</v>
      </c>
      <c r="B32" s="53" t="s">
        <v>476</v>
      </c>
      <c r="C32" s="53" t="s">
        <v>452</v>
      </c>
      <c r="D32" s="54" t="s">
        <v>477</v>
      </c>
      <c r="E32" s="54" t="s">
        <v>871</v>
      </c>
      <c r="F32" s="55">
        <v>1</v>
      </c>
    </row>
    <row r="33" spans="1:6" s="58" customFormat="1" x14ac:dyDescent="0.2">
      <c r="A33" s="53">
        <v>3</v>
      </c>
      <c r="B33" s="53" t="s">
        <v>478</v>
      </c>
      <c r="C33" s="53" t="s">
        <v>479</v>
      </c>
      <c r="D33" s="54" t="s">
        <v>480</v>
      </c>
      <c r="E33" s="54" t="s">
        <v>871</v>
      </c>
      <c r="F33" s="55">
        <v>5</v>
      </c>
    </row>
    <row r="34" spans="1:6" s="58" customFormat="1" x14ac:dyDescent="0.2">
      <c r="A34" s="53">
        <v>3</v>
      </c>
      <c r="B34" s="53" t="s">
        <v>481</v>
      </c>
      <c r="C34" s="53" t="s">
        <v>452</v>
      </c>
      <c r="D34" s="54" t="s">
        <v>482</v>
      </c>
      <c r="E34" s="54" t="s">
        <v>871</v>
      </c>
      <c r="F34" s="55">
        <v>11</v>
      </c>
    </row>
    <row r="35" spans="1:6" s="58" customFormat="1" x14ac:dyDescent="0.2">
      <c r="A35" s="53">
        <v>3</v>
      </c>
      <c r="B35" s="53" t="s">
        <v>483</v>
      </c>
      <c r="C35" s="53" t="s">
        <v>452</v>
      </c>
      <c r="D35" s="54" t="s">
        <v>484</v>
      </c>
      <c r="E35" s="54" t="s">
        <v>871</v>
      </c>
      <c r="F35" s="55">
        <v>4</v>
      </c>
    </row>
    <row r="36" spans="1:6" s="58" customFormat="1" x14ac:dyDescent="0.2">
      <c r="A36" s="53">
        <v>3</v>
      </c>
      <c r="B36" s="53" t="s">
        <v>485</v>
      </c>
      <c r="C36" s="53" t="s">
        <v>452</v>
      </c>
      <c r="D36" s="54" t="s">
        <v>486</v>
      </c>
      <c r="E36" s="54" t="s">
        <v>871</v>
      </c>
      <c r="F36" s="55">
        <v>16</v>
      </c>
    </row>
    <row r="37" spans="1:6" s="58" customFormat="1" x14ac:dyDescent="0.2">
      <c r="A37" s="53">
        <v>3</v>
      </c>
      <c r="B37" s="53" t="s">
        <v>487</v>
      </c>
      <c r="C37" s="53" t="s">
        <v>488</v>
      </c>
      <c r="D37" s="54" t="s">
        <v>489</v>
      </c>
      <c r="E37" s="54" t="s">
        <v>871</v>
      </c>
      <c r="F37" s="55">
        <v>9</v>
      </c>
    </row>
    <row r="38" spans="1:6" s="58" customFormat="1" x14ac:dyDescent="0.2">
      <c r="A38" s="53">
        <v>3</v>
      </c>
      <c r="B38" s="53" t="s">
        <v>490</v>
      </c>
      <c r="C38" s="53" t="s">
        <v>452</v>
      </c>
      <c r="D38" s="54" t="s">
        <v>491</v>
      </c>
      <c r="E38" s="54" t="s">
        <v>871</v>
      </c>
      <c r="F38" s="55">
        <v>15</v>
      </c>
    </row>
    <row r="39" spans="1:6" s="58" customFormat="1" x14ac:dyDescent="0.2">
      <c r="A39" s="53">
        <v>6</v>
      </c>
      <c r="B39" s="53" t="s">
        <v>492</v>
      </c>
      <c r="C39" s="53" t="s">
        <v>488</v>
      </c>
      <c r="D39" s="54" t="s">
        <v>460</v>
      </c>
      <c r="E39" s="54" t="s">
        <v>871</v>
      </c>
      <c r="F39" s="55">
        <v>1</v>
      </c>
    </row>
    <row r="40" spans="1:6" s="58" customFormat="1" x14ac:dyDescent="0.2">
      <c r="A40" s="53">
        <v>6</v>
      </c>
      <c r="B40" s="53" t="s">
        <v>493</v>
      </c>
      <c r="C40" s="53" t="s">
        <v>488</v>
      </c>
      <c r="D40" s="54" t="s">
        <v>450</v>
      </c>
      <c r="E40" s="54" t="s">
        <v>871</v>
      </c>
      <c r="F40" s="55">
        <v>1</v>
      </c>
    </row>
    <row r="41" spans="1:6" s="58" customFormat="1" x14ac:dyDescent="0.2">
      <c r="A41" s="53">
        <v>6</v>
      </c>
      <c r="B41" s="53" t="s">
        <v>494</v>
      </c>
      <c r="C41" s="53" t="s">
        <v>488</v>
      </c>
      <c r="D41" s="54" t="s">
        <v>495</v>
      </c>
      <c r="E41" s="54" t="s">
        <v>871</v>
      </c>
      <c r="F41" s="55">
        <v>3</v>
      </c>
    </row>
    <row r="42" spans="1:6" s="58" customFormat="1" x14ac:dyDescent="0.2">
      <c r="A42" s="53">
        <v>6</v>
      </c>
      <c r="B42" s="53" t="s">
        <v>496</v>
      </c>
      <c r="C42" s="53" t="s">
        <v>452</v>
      </c>
      <c r="D42" s="54" t="s">
        <v>467</v>
      </c>
      <c r="E42" s="54" t="s">
        <v>871</v>
      </c>
      <c r="F42" s="55">
        <v>1</v>
      </c>
    </row>
    <row r="43" spans="1:6" s="58" customFormat="1" x14ac:dyDescent="0.2">
      <c r="A43" s="53">
        <v>6</v>
      </c>
      <c r="B43" s="53" t="s">
        <v>497</v>
      </c>
      <c r="C43" s="53" t="s">
        <v>318</v>
      </c>
      <c r="D43" s="54" t="s">
        <v>318</v>
      </c>
      <c r="E43" s="54" t="s">
        <v>871</v>
      </c>
      <c r="F43" s="55">
        <v>2</v>
      </c>
    </row>
    <row r="44" spans="1:6" s="58" customFormat="1" x14ac:dyDescent="0.2">
      <c r="A44" s="53">
        <v>6</v>
      </c>
      <c r="B44" s="53" t="s">
        <v>498</v>
      </c>
      <c r="C44" s="53" t="s">
        <v>452</v>
      </c>
      <c r="D44" s="54" t="s">
        <v>450</v>
      </c>
      <c r="E44" s="54" t="s">
        <v>871</v>
      </c>
      <c r="F44" s="55">
        <v>16</v>
      </c>
    </row>
    <row r="45" spans="1:6" s="58" customFormat="1" x14ac:dyDescent="0.2">
      <c r="A45" s="53">
        <v>6</v>
      </c>
      <c r="B45" s="53" t="s">
        <v>499</v>
      </c>
      <c r="C45" s="53" t="s">
        <v>452</v>
      </c>
      <c r="D45" s="54" t="s">
        <v>500</v>
      </c>
      <c r="E45" s="54" t="s">
        <v>871</v>
      </c>
      <c r="F45" s="55">
        <v>3</v>
      </c>
    </row>
    <row r="46" spans="1:6" s="58" customFormat="1" x14ac:dyDescent="0.2">
      <c r="A46" s="53">
        <v>6</v>
      </c>
      <c r="B46" s="53" t="s">
        <v>501</v>
      </c>
      <c r="C46" s="53" t="s">
        <v>452</v>
      </c>
      <c r="D46" s="54" t="s">
        <v>502</v>
      </c>
      <c r="E46" s="54" t="s">
        <v>871</v>
      </c>
      <c r="F46" s="55">
        <v>4</v>
      </c>
    </row>
    <row r="47" spans="1:6" s="58" customFormat="1" x14ac:dyDescent="0.2">
      <c r="A47" s="53">
        <v>6</v>
      </c>
      <c r="B47" s="53" t="s">
        <v>503</v>
      </c>
      <c r="C47" s="53" t="s">
        <v>452</v>
      </c>
      <c r="D47" s="54" t="s">
        <v>467</v>
      </c>
      <c r="E47" s="54" t="s">
        <v>871</v>
      </c>
      <c r="F47" s="55">
        <v>3</v>
      </c>
    </row>
    <row r="48" spans="1:6" s="58" customFormat="1" x14ac:dyDescent="0.2">
      <c r="A48" s="53">
        <v>6</v>
      </c>
      <c r="B48" s="53" t="s">
        <v>504</v>
      </c>
      <c r="C48" s="53" t="s">
        <v>488</v>
      </c>
      <c r="D48" s="54" t="s">
        <v>450</v>
      </c>
      <c r="E48" s="54" t="s">
        <v>871</v>
      </c>
      <c r="F48" s="55">
        <v>4</v>
      </c>
    </row>
    <row r="49" spans="1:6" s="58" customFormat="1" x14ac:dyDescent="0.2">
      <c r="A49" s="53">
        <v>6</v>
      </c>
      <c r="B49" s="53" t="s">
        <v>505</v>
      </c>
      <c r="C49" s="53" t="s">
        <v>488</v>
      </c>
      <c r="D49" s="54" t="s">
        <v>477</v>
      </c>
      <c r="E49" s="54" t="s">
        <v>871</v>
      </c>
      <c r="F49" s="55">
        <v>16</v>
      </c>
    </row>
    <row r="50" spans="1:6" s="58" customFormat="1" x14ac:dyDescent="0.2">
      <c r="A50" s="53">
        <v>6</v>
      </c>
      <c r="B50" s="53" t="s">
        <v>506</v>
      </c>
      <c r="C50" s="53" t="s">
        <v>318</v>
      </c>
      <c r="D50" s="54" t="s">
        <v>318</v>
      </c>
      <c r="E50" s="54" t="s">
        <v>871</v>
      </c>
      <c r="F50" s="55">
        <v>12</v>
      </c>
    </row>
    <row r="51" spans="1:6" s="58" customFormat="1" x14ac:dyDescent="0.2">
      <c r="A51" s="53">
        <v>6</v>
      </c>
      <c r="B51" s="53" t="s">
        <v>507</v>
      </c>
      <c r="C51" s="53" t="s">
        <v>318</v>
      </c>
      <c r="D51" s="54" t="s">
        <v>318</v>
      </c>
      <c r="E51" s="54" t="s">
        <v>871</v>
      </c>
      <c r="F51" s="55">
        <v>3</v>
      </c>
    </row>
    <row r="52" spans="1:6" s="58" customFormat="1" x14ac:dyDescent="0.2">
      <c r="A52" s="53">
        <v>7</v>
      </c>
      <c r="B52" s="53" t="s">
        <v>508</v>
      </c>
      <c r="C52" s="53" t="s">
        <v>488</v>
      </c>
      <c r="D52" s="54" t="s">
        <v>477</v>
      </c>
      <c r="E52" s="54" t="s">
        <v>871</v>
      </c>
      <c r="F52" s="55">
        <v>3</v>
      </c>
    </row>
    <row r="53" spans="1:6" s="58" customFormat="1" x14ac:dyDescent="0.2">
      <c r="A53" s="53">
        <v>7</v>
      </c>
      <c r="B53" s="53" t="s">
        <v>509</v>
      </c>
      <c r="C53" s="53" t="s">
        <v>488</v>
      </c>
      <c r="D53" s="54" t="s">
        <v>510</v>
      </c>
      <c r="E53" s="54" t="s">
        <v>871</v>
      </c>
      <c r="F53" s="55">
        <v>1</v>
      </c>
    </row>
    <row r="54" spans="1:6" s="58" customFormat="1" x14ac:dyDescent="0.2">
      <c r="A54" s="53">
        <v>7</v>
      </c>
      <c r="B54" s="53" t="s">
        <v>318</v>
      </c>
      <c r="C54" s="53" t="s">
        <v>452</v>
      </c>
      <c r="D54" s="54" t="s">
        <v>511</v>
      </c>
      <c r="E54" s="54" t="s">
        <v>871</v>
      </c>
      <c r="F54" s="55">
        <v>1</v>
      </c>
    </row>
    <row r="55" spans="1:6" s="58" customFormat="1" x14ac:dyDescent="0.2">
      <c r="A55" s="53">
        <v>7</v>
      </c>
      <c r="B55" s="53" t="s">
        <v>512</v>
      </c>
      <c r="C55" s="53" t="s">
        <v>513</v>
      </c>
      <c r="D55" s="54" t="s">
        <v>514</v>
      </c>
      <c r="E55" s="54" t="s">
        <v>871</v>
      </c>
      <c r="F55" s="55">
        <v>4</v>
      </c>
    </row>
    <row r="56" spans="1:6" s="58" customFormat="1" x14ac:dyDescent="0.2">
      <c r="A56" s="53">
        <v>7</v>
      </c>
      <c r="B56" s="53" t="s">
        <v>515</v>
      </c>
      <c r="C56" s="53" t="s">
        <v>452</v>
      </c>
      <c r="D56" s="54" t="s">
        <v>516</v>
      </c>
      <c r="E56" s="54" t="s">
        <v>871</v>
      </c>
      <c r="F56" s="55">
        <v>10</v>
      </c>
    </row>
    <row r="57" spans="1:6" s="58" customFormat="1" x14ac:dyDescent="0.2">
      <c r="A57" s="53">
        <v>7</v>
      </c>
      <c r="B57" s="53" t="s">
        <v>517</v>
      </c>
      <c r="C57" s="53" t="s">
        <v>479</v>
      </c>
      <c r="D57" s="54" t="s">
        <v>518</v>
      </c>
      <c r="E57" s="54" t="s">
        <v>871</v>
      </c>
      <c r="F57" s="55">
        <v>13</v>
      </c>
    </row>
    <row r="58" spans="1:6" s="58" customFormat="1" x14ac:dyDescent="0.2">
      <c r="A58" s="53">
        <v>7</v>
      </c>
      <c r="B58" s="53" t="s">
        <v>519</v>
      </c>
      <c r="C58" s="53" t="s">
        <v>452</v>
      </c>
      <c r="D58" s="54" t="s">
        <v>445</v>
      </c>
      <c r="E58" s="54" t="s">
        <v>871</v>
      </c>
      <c r="F58" s="55">
        <v>12</v>
      </c>
    </row>
    <row r="59" spans="1:6" s="58" customFormat="1" x14ac:dyDescent="0.2">
      <c r="A59" s="53">
        <v>7</v>
      </c>
      <c r="B59" s="53" t="s">
        <v>520</v>
      </c>
      <c r="C59" s="53" t="s">
        <v>488</v>
      </c>
      <c r="D59" s="54" t="s">
        <v>521</v>
      </c>
      <c r="E59" s="54" t="s">
        <v>871</v>
      </c>
      <c r="F59" s="55">
        <v>7</v>
      </c>
    </row>
    <row r="60" spans="1:6" s="58" customFormat="1" x14ac:dyDescent="0.2">
      <c r="A60" s="53">
        <v>7</v>
      </c>
      <c r="B60" s="53" t="s">
        <v>522</v>
      </c>
      <c r="C60" s="53" t="s">
        <v>488</v>
      </c>
      <c r="D60" s="54" t="s">
        <v>523</v>
      </c>
      <c r="E60" s="54" t="s">
        <v>871</v>
      </c>
      <c r="F60" s="55">
        <v>30</v>
      </c>
    </row>
    <row r="61" spans="1:6" s="58" customFormat="1" x14ac:dyDescent="0.2">
      <c r="A61" s="53">
        <v>7</v>
      </c>
      <c r="B61" s="53" t="s">
        <v>524</v>
      </c>
      <c r="C61" s="53" t="s">
        <v>488</v>
      </c>
      <c r="D61" s="54" t="s">
        <v>525</v>
      </c>
      <c r="E61" s="54" t="s">
        <v>871</v>
      </c>
      <c r="F61" s="55">
        <v>4</v>
      </c>
    </row>
    <row r="62" spans="1:6" s="58" customFormat="1" x14ac:dyDescent="0.2">
      <c r="A62" s="53">
        <v>7</v>
      </c>
      <c r="B62" s="53" t="s">
        <v>526</v>
      </c>
      <c r="C62" s="53" t="s">
        <v>527</v>
      </c>
      <c r="D62" s="54" t="s">
        <v>528</v>
      </c>
      <c r="E62" s="54" t="s">
        <v>871</v>
      </c>
      <c r="F62" s="55">
        <v>2</v>
      </c>
    </row>
    <row r="63" spans="1:6" s="58" customFormat="1" x14ac:dyDescent="0.2">
      <c r="A63" s="53">
        <v>7</v>
      </c>
      <c r="B63" s="53" t="s">
        <v>529</v>
      </c>
      <c r="C63" s="53" t="s">
        <v>452</v>
      </c>
      <c r="D63" s="54" t="s">
        <v>502</v>
      </c>
      <c r="E63" s="54" t="s">
        <v>871</v>
      </c>
      <c r="F63" s="55">
        <v>4</v>
      </c>
    </row>
    <row r="64" spans="1:6" s="58" customFormat="1" x14ac:dyDescent="0.2">
      <c r="A64" s="53">
        <v>7</v>
      </c>
      <c r="B64" s="53" t="s">
        <v>530</v>
      </c>
      <c r="C64" s="53" t="s">
        <v>452</v>
      </c>
      <c r="D64" s="54" t="s">
        <v>447</v>
      </c>
      <c r="E64" s="54" t="s">
        <v>871</v>
      </c>
      <c r="F64" s="55">
        <v>4</v>
      </c>
    </row>
    <row r="65" spans="1:6" s="58" customFormat="1" x14ac:dyDescent="0.2">
      <c r="A65" s="53">
        <v>7</v>
      </c>
      <c r="B65" s="53" t="s">
        <v>531</v>
      </c>
      <c r="C65" s="53" t="s">
        <v>452</v>
      </c>
      <c r="D65" s="54" t="s">
        <v>532</v>
      </c>
      <c r="E65" s="54" t="s">
        <v>871</v>
      </c>
      <c r="F65" s="55">
        <v>5</v>
      </c>
    </row>
    <row r="66" spans="1:6" s="58" customFormat="1" x14ac:dyDescent="0.2">
      <c r="A66" s="53">
        <v>7</v>
      </c>
      <c r="B66" s="53" t="s">
        <v>533</v>
      </c>
      <c r="C66" s="53" t="s">
        <v>488</v>
      </c>
      <c r="D66" s="54" t="s">
        <v>447</v>
      </c>
      <c r="E66" s="54" t="s">
        <v>871</v>
      </c>
      <c r="F66" s="55">
        <v>30</v>
      </c>
    </row>
    <row r="67" spans="1:6" s="58" customFormat="1" x14ac:dyDescent="0.2">
      <c r="A67" s="53">
        <v>7</v>
      </c>
      <c r="B67" s="53" t="s">
        <v>534</v>
      </c>
      <c r="C67" s="53" t="s">
        <v>452</v>
      </c>
      <c r="D67" s="54" t="s">
        <v>535</v>
      </c>
      <c r="E67" s="54" t="s">
        <v>871</v>
      </c>
      <c r="F67" s="55">
        <v>16</v>
      </c>
    </row>
    <row r="68" spans="1:6" s="58" customFormat="1" x14ac:dyDescent="0.2">
      <c r="A68" s="53">
        <v>7</v>
      </c>
      <c r="B68" s="53" t="s">
        <v>536</v>
      </c>
      <c r="C68" s="53" t="s">
        <v>452</v>
      </c>
      <c r="D68" s="54" t="s">
        <v>535</v>
      </c>
      <c r="E68" s="54" t="s">
        <v>871</v>
      </c>
      <c r="F68" s="55">
        <v>18</v>
      </c>
    </row>
    <row r="69" spans="1:6" s="58" customFormat="1" x14ac:dyDescent="0.2">
      <c r="A69" s="53">
        <v>9</v>
      </c>
      <c r="B69" s="53" t="s">
        <v>537</v>
      </c>
      <c r="C69" s="53" t="s">
        <v>452</v>
      </c>
      <c r="D69" s="54" t="s">
        <v>511</v>
      </c>
      <c r="E69" s="54" t="s">
        <v>871</v>
      </c>
      <c r="F69" s="55">
        <v>5</v>
      </c>
    </row>
    <row r="70" spans="1:6" s="58" customFormat="1" x14ac:dyDescent="0.2">
      <c r="A70" s="53">
        <v>9</v>
      </c>
      <c r="B70" s="53" t="s">
        <v>538</v>
      </c>
      <c r="C70" s="53" t="s">
        <v>488</v>
      </c>
      <c r="D70" s="54" t="s">
        <v>539</v>
      </c>
      <c r="E70" s="54" t="s">
        <v>871</v>
      </c>
      <c r="F70" s="55">
        <v>14</v>
      </c>
    </row>
    <row r="71" spans="1:6" s="58" customFormat="1" x14ac:dyDescent="0.2">
      <c r="A71" s="53">
        <v>9</v>
      </c>
      <c r="B71" s="53" t="s">
        <v>540</v>
      </c>
      <c r="C71" s="53" t="s">
        <v>452</v>
      </c>
      <c r="D71" s="54" t="s">
        <v>525</v>
      </c>
      <c r="E71" s="54" t="s">
        <v>871</v>
      </c>
      <c r="F71" s="55">
        <v>9</v>
      </c>
    </row>
    <row r="72" spans="1:6" s="58" customFormat="1" x14ac:dyDescent="0.2">
      <c r="A72" s="53">
        <v>9</v>
      </c>
      <c r="B72" s="53" t="s">
        <v>541</v>
      </c>
      <c r="C72" s="53" t="s">
        <v>488</v>
      </c>
      <c r="D72" s="54" t="s">
        <v>542</v>
      </c>
      <c r="E72" s="54" t="s">
        <v>871</v>
      </c>
      <c r="F72" s="55">
        <v>5</v>
      </c>
    </row>
    <row r="73" spans="1:6" s="58" customFormat="1" x14ac:dyDescent="0.2">
      <c r="A73" s="53">
        <v>9</v>
      </c>
      <c r="B73" s="53" t="s">
        <v>543</v>
      </c>
      <c r="C73" s="53" t="s">
        <v>318</v>
      </c>
      <c r="D73" s="54" t="s">
        <v>544</v>
      </c>
      <c r="E73" s="54" t="s">
        <v>871</v>
      </c>
      <c r="F73" s="55">
        <v>20</v>
      </c>
    </row>
    <row r="74" spans="1:6" s="58" customFormat="1" x14ac:dyDescent="0.2">
      <c r="A74" s="53">
        <v>9</v>
      </c>
      <c r="B74" s="53" t="s">
        <v>545</v>
      </c>
      <c r="C74" s="53" t="s">
        <v>452</v>
      </c>
      <c r="D74" s="54" t="s">
        <v>447</v>
      </c>
      <c r="E74" s="54" t="s">
        <v>871</v>
      </c>
      <c r="F74" s="55">
        <v>26</v>
      </c>
    </row>
    <row r="75" spans="1:6" s="58" customFormat="1" x14ac:dyDescent="0.2">
      <c r="A75" s="53">
        <v>9</v>
      </c>
      <c r="B75" s="53" t="s">
        <v>546</v>
      </c>
      <c r="C75" s="53" t="s">
        <v>479</v>
      </c>
      <c r="D75" s="54" t="s">
        <v>518</v>
      </c>
      <c r="E75" s="54" t="s">
        <v>872</v>
      </c>
      <c r="F75" s="55">
        <v>20</v>
      </c>
    </row>
    <row r="76" spans="1:6" s="58" customFormat="1" x14ac:dyDescent="0.2">
      <c r="A76" s="53">
        <v>9</v>
      </c>
      <c r="B76" s="53" t="s">
        <v>547</v>
      </c>
      <c r="C76" s="53" t="s">
        <v>479</v>
      </c>
      <c r="D76" s="54" t="s">
        <v>518</v>
      </c>
      <c r="E76" s="54" t="s">
        <v>872</v>
      </c>
      <c r="F76" s="55">
        <v>20</v>
      </c>
    </row>
    <row r="77" spans="1:6" s="58" customFormat="1" x14ac:dyDescent="0.2">
      <c r="A77" s="53">
        <v>9</v>
      </c>
      <c r="B77" s="53" t="s">
        <v>548</v>
      </c>
      <c r="C77" s="53" t="s">
        <v>452</v>
      </c>
      <c r="D77" s="54" t="s">
        <v>447</v>
      </c>
      <c r="E77" s="54" t="s">
        <v>871</v>
      </c>
      <c r="F77" s="55">
        <v>12</v>
      </c>
    </row>
    <row r="78" spans="1:6" s="58" customFormat="1" x14ac:dyDescent="0.2">
      <c r="A78" s="53">
        <v>9</v>
      </c>
      <c r="B78" s="53" t="s">
        <v>549</v>
      </c>
      <c r="C78" s="53" t="s">
        <v>479</v>
      </c>
      <c r="D78" s="54" t="s">
        <v>518</v>
      </c>
      <c r="E78" s="54" t="s">
        <v>872</v>
      </c>
      <c r="F78" s="55">
        <v>25</v>
      </c>
    </row>
    <row r="79" spans="1:6" s="58" customFormat="1" x14ac:dyDescent="0.2">
      <c r="A79" s="53">
        <v>9</v>
      </c>
      <c r="B79" s="53" t="s">
        <v>550</v>
      </c>
      <c r="C79" s="53" t="s">
        <v>479</v>
      </c>
      <c r="D79" s="54" t="s">
        <v>518</v>
      </c>
      <c r="E79" s="54" t="s">
        <v>872</v>
      </c>
      <c r="F79" s="55">
        <v>25</v>
      </c>
    </row>
    <row r="80" spans="1:6" s="58" customFormat="1" x14ac:dyDescent="0.2">
      <c r="A80" s="53">
        <v>9</v>
      </c>
      <c r="B80" s="53" t="s">
        <v>551</v>
      </c>
      <c r="C80" s="53" t="s">
        <v>452</v>
      </c>
      <c r="D80" s="54" t="s">
        <v>447</v>
      </c>
      <c r="E80" s="54" t="s">
        <v>871</v>
      </c>
      <c r="F80" s="55">
        <v>30</v>
      </c>
    </row>
    <row r="81" spans="1:6" s="58" customFormat="1" x14ac:dyDescent="0.2">
      <c r="A81" s="53">
        <v>9</v>
      </c>
      <c r="B81" s="53" t="s">
        <v>552</v>
      </c>
      <c r="C81" s="53" t="s">
        <v>452</v>
      </c>
      <c r="D81" s="54" t="s">
        <v>480</v>
      </c>
      <c r="E81" s="54" t="s">
        <v>871</v>
      </c>
      <c r="F81" s="55">
        <v>35</v>
      </c>
    </row>
    <row r="82" spans="1:6" s="58" customFormat="1" x14ac:dyDescent="0.2">
      <c r="A82" s="53">
        <v>9</v>
      </c>
      <c r="B82" s="53" t="s">
        <v>553</v>
      </c>
      <c r="C82" s="53" t="s">
        <v>452</v>
      </c>
      <c r="D82" s="54" t="s">
        <v>521</v>
      </c>
      <c r="E82" s="54" t="s">
        <v>871</v>
      </c>
      <c r="F82" s="55">
        <v>8</v>
      </c>
    </row>
    <row r="83" spans="1:6" s="58" customFormat="1" x14ac:dyDescent="0.2">
      <c r="A83" s="53">
        <v>9</v>
      </c>
      <c r="B83" s="53" t="s">
        <v>554</v>
      </c>
      <c r="C83" s="53" t="s">
        <v>452</v>
      </c>
      <c r="D83" s="54" t="s">
        <v>521</v>
      </c>
      <c r="E83" s="54" t="s">
        <v>871</v>
      </c>
      <c r="F83" s="55">
        <v>1</v>
      </c>
    </row>
    <row r="84" spans="1:6" s="58" customFormat="1" x14ac:dyDescent="0.2">
      <c r="A84" s="53">
        <v>9</v>
      </c>
      <c r="B84" s="53" t="s">
        <v>555</v>
      </c>
      <c r="C84" s="53" t="s">
        <v>488</v>
      </c>
      <c r="D84" s="54" t="s">
        <v>477</v>
      </c>
      <c r="E84" s="54" t="s">
        <v>871</v>
      </c>
      <c r="F84" s="55">
        <v>4</v>
      </c>
    </row>
    <row r="85" spans="1:6" s="58" customFormat="1" x14ac:dyDescent="0.2">
      <c r="A85" s="53">
        <v>9</v>
      </c>
      <c r="B85" s="53" t="s">
        <v>556</v>
      </c>
      <c r="C85" s="53" t="s">
        <v>421</v>
      </c>
      <c r="D85" s="54" t="s">
        <v>557</v>
      </c>
      <c r="E85" s="54" t="s">
        <v>871</v>
      </c>
      <c r="F85" s="55">
        <v>7</v>
      </c>
    </row>
    <row r="86" spans="1:6" s="58" customFormat="1" x14ac:dyDescent="0.2">
      <c r="A86" s="53">
        <v>9</v>
      </c>
      <c r="B86" s="53" t="s">
        <v>558</v>
      </c>
      <c r="C86" s="53" t="s">
        <v>452</v>
      </c>
      <c r="D86" s="54" t="s">
        <v>480</v>
      </c>
      <c r="E86" s="54" t="s">
        <v>871</v>
      </c>
      <c r="F86" s="55">
        <v>12</v>
      </c>
    </row>
    <row r="87" spans="1:6" s="58" customFormat="1" x14ac:dyDescent="0.2">
      <c r="A87" s="53">
        <v>10</v>
      </c>
      <c r="B87" s="53" t="s">
        <v>559</v>
      </c>
      <c r="C87" s="53" t="s">
        <v>452</v>
      </c>
      <c r="D87" s="54" t="s">
        <v>518</v>
      </c>
      <c r="E87" s="54" t="s">
        <v>872</v>
      </c>
      <c r="F87" s="55">
        <v>20</v>
      </c>
    </row>
    <row r="88" spans="1:6" s="58" customFormat="1" x14ac:dyDescent="0.2">
      <c r="A88" s="59">
        <v>10</v>
      </c>
      <c r="B88" s="59" t="s">
        <v>873</v>
      </c>
      <c r="C88" s="59" t="s">
        <v>452</v>
      </c>
      <c r="D88" s="60" t="s">
        <v>518</v>
      </c>
      <c r="E88" s="60" t="s">
        <v>872</v>
      </c>
      <c r="F88" s="61">
        <v>120</v>
      </c>
    </row>
    <row r="89" spans="1:6" s="58" customFormat="1" x14ac:dyDescent="0.2">
      <c r="A89" s="59">
        <v>10</v>
      </c>
      <c r="B89" s="59" t="s">
        <v>874</v>
      </c>
      <c r="C89" s="59" t="s">
        <v>452</v>
      </c>
      <c r="D89" s="60" t="s">
        <v>518</v>
      </c>
      <c r="E89" s="60" t="s">
        <v>872</v>
      </c>
      <c r="F89" s="61">
        <v>120</v>
      </c>
    </row>
    <row r="90" spans="1:6" s="58" customFormat="1" x14ac:dyDescent="0.2">
      <c r="A90" s="59">
        <v>10</v>
      </c>
      <c r="B90" s="59" t="s">
        <v>875</v>
      </c>
      <c r="C90" s="59" t="s">
        <v>452</v>
      </c>
      <c r="D90" s="60" t="s">
        <v>518</v>
      </c>
      <c r="E90" s="60" t="s">
        <v>872</v>
      </c>
      <c r="F90" s="61">
        <v>120</v>
      </c>
    </row>
    <row r="91" spans="1:6" s="58" customFormat="1" x14ac:dyDescent="0.2">
      <c r="A91" s="59">
        <v>10</v>
      </c>
      <c r="B91" s="59" t="s">
        <v>876</v>
      </c>
      <c r="C91" s="59" t="s">
        <v>452</v>
      </c>
      <c r="D91" s="60" t="s">
        <v>518</v>
      </c>
      <c r="E91" s="60" t="s">
        <v>872</v>
      </c>
      <c r="F91" s="61">
        <v>120</v>
      </c>
    </row>
    <row r="92" spans="1:6" s="58" customFormat="1" x14ac:dyDescent="0.2">
      <c r="A92" s="59">
        <v>10</v>
      </c>
      <c r="B92" s="59" t="s">
        <v>877</v>
      </c>
      <c r="C92" s="59" t="s">
        <v>452</v>
      </c>
      <c r="D92" s="60" t="s">
        <v>518</v>
      </c>
      <c r="E92" s="60" t="s">
        <v>872</v>
      </c>
      <c r="F92" s="61">
        <v>120</v>
      </c>
    </row>
    <row r="93" spans="1:6" s="57" customFormat="1" x14ac:dyDescent="0.2">
      <c r="A93" s="53">
        <v>10</v>
      </c>
      <c r="B93" s="53" t="s">
        <v>878</v>
      </c>
      <c r="C93" s="53" t="s">
        <v>452</v>
      </c>
      <c r="D93" s="54" t="s">
        <v>518</v>
      </c>
      <c r="E93" s="54" t="s">
        <v>872</v>
      </c>
      <c r="F93" s="55">
        <v>120</v>
      </c>
    </row>
    <row r="94" spans="1:6" s="57" customFormat="1" x14ac:dyDescent="0.2">
      <c r="A94" s="53" t="s">
        <v>560</v>
      </c>
      <c r="B94" s="100" t="s">
        <v>561</v>
      </c>
      <c r="C94" s="101" t="s">
        <v>452</v>
      </c>
      <c r="D94" s="102" t="s">
        <v>562</v>
      </c>
      <c r="E94" s="54" t="s">
        <v>871</v>
      </c>
      <c r="F94" s="103">
        <v>30</v>
      </c>
    </row>
    <row r="95" spans="1:6" s="57" customFormat="1" x14ac:dyDescent="0.2">
      <c r="A95" s="53" t="s">
        <v>560</v>
      </c>
      <c r="B95" s="100" t="s">
        <v>561</v>
      </c>
      <c r="C95" s="101" t="s">
        <v>563</v>
      </c>
      <c r="D95" s="102" t="s">
        <v>564</v>
      </c>
      <c r="E95" s="54" t="s">
        <v>871</v>
      </c>
      <c r="F95" s="103">
        <v>30</v>
      </c>
    </row>
    <row r="96" spans="1:6" s="58" customFormat="1" x14ac:dyDescent="0.2">
      <c r="A96" s="94" t="s">
        <v>560</v>
      </c>
      <c r="B96" s="95" t="s">
        <v>561</v>
      </c>
      <c r="C96" s="96" t="s">
        <v>565</v>
      </c>
      <c r="D96" s="97" t="s">
        <v>566</v>
      </c>
      <c r="E96" s="98" t="s">
        <v>871</v>
      </c>
      <c r="F96" s="99">
        <v>30</v>
      </c>
    </row>
    <row r="97" spans="1:6" s="58" customFormat="1" x14ac:dyDescent="0.2">
      <c r="A97" s="62" t="s">
        <v>560</v>
      </c>
      <c r="B97" s="93" t="s">
        <v>561</v>
      </c>
      <c r="C97" s="63" t="s">
        <v>567</v>
      </c>
      <c r="D97" s="64" t="s">
        <v>568</v>
      </c>
      <c r="E97" s="54" t="s">
        <v>871</v>
      </c>
      <c r="F97" s="65">
        <v>30</v>
      </c>
    </row>
    <row r="98" spans="1:6" s="58" customFormat="1" x14ac:dyDescent="0.2">
      <c r="A98" s="62" t="s">
        <v>560</v>
      </c>
      <c r="B98" s="93" t="s">
        <v>561</v>
      </c>
      <c r="C98" s="63" t="s">
        <v>569</v>
      </c>
      <c r="D98" s="64" t="s">
        <v>570</v>
      </c>
      <c r="E98" s="54" t="s">
        <v>871</v>
      </c>
      <c r="F98" s="65">
        <v>30</v>
      </c>
    </row>
    <row r="99" spans="1:6" s="58" customFormat="1" x14ac:dyDescent="0.2">
      <c r="A99" s="62" t="s">
        <v>560</v>
      </c>
      <c r="B99" s="93" t="s">
        <v>561</v>
      </c>
      <c r="C99" s="63" t="s">
        <v>571</v>
      </c>
      <c r="D99" s="64" t="s">
        <v>572</v>
      </c>
      <c r="E99" s="54" t="s">
        <v>871</v>
      </c>
      <c r="F99" s="65">
        <v>30</v>
      </c>
    </row>
    <row r="100" spans="1:6" s="58" customFormat="1" x14ac:dyDescent="0.2">
      <c r="A100" s="62" t="s">
        <v>560</v>
      </c>
      <c r="B100" s="93" t="s">
        <v>561</v>
      </c>
      <c r="C100" s="63" t="s">
        <v>573</v>
      </c>
      <c r="D100" s="64" t="s">
        <v>574</v>
      </c>
      <c r="E100" s="54" t="s">
        <v>871</v>
      </c>
      <c r="F100" s="65">
        <v>30</v>
      </c>
    </row>
    <row r="101" spans="1:6" s="58" customFormat="1" x14ac:dyDescent="0.2">
      <c r="A101" s="62" t="s">
        <v>560</v>
      </c>
      <c r="B101" s="93" t="s">
        <v>561</v>
      </c>
      <c r="C101" s="63" t="s">
        <v>575</v>
      </c>
      <c r="D101" s="64" t="s">
        <v>576</v>
      </c>
      <c r="E101" s="54" t="s">
        <v>871</v>
      </c>
      <c r="F101" s="65">
        <v>30</v>
      </c>
    </row>
    <row r="102" spans="1:6" s="58" customFormat="1" x14ac:dyDescent="0.2">
      <c r="A102" s="62" t="s">
        <v>560</v>
      </c>
      <c r="B102" s="93" t="s">
        <v>561</v>
      </c>
      <c r="C102" s="63" t="s">
        <v>577</v>
      </c>
      <c r="D102" s="64" t="s">
        <v>578</v>
      </c>
      <c r="E102" s="54" t="s">
        <v>871</v>
      </c>
      <c r="F102" s="65">
        <v>30</v>
      </c>
    </row>
    <row r="103" spans="1:6" s="58" customFormat="1" x14ac:dyDescent="0.2">
      <c r="A103" s="62" t="s">
        <v>560</v>
      </c>
      <c r="B103" s="93" t="s">
        <v>561</v>
      </c>
      <c r="C103" s="63" t="s">
        <v>579</v>
      </c>
      <c r="D103" s="64" t="s">
        <v>580</v>
      </c>
      <c r="E103" s="54" t="s">
        <v>871</v>
      </c>
      <c r="F103" s="65">
        <v>30</v>
      </c>
    </row>
    <row r="104" spans="1:6" s="58" customFormat="1" x14ac:dyDescent="0.2">
      <c r="A104" s="62" t="s">
        <v>560</v>
      </c>
      <c r="B104" s="93" t="s">
        <v>561</v>
      </c>
      <c r="C104" s="63" t="s">
        <v>581</v>
      </c>
      <c r="D104" s="64" t="s">
        <v>582</v>
      </c>
      <c r="E104" s="54" t="s">
        <v>871</v>
      </c>
      <c r="F104" s="65">
        <v>30</v>
      </c>
    </row>
    <row r="105" spans="1:6" s="58" customFormat="1" x14ac:dyDescent="0.2">
      <c r="A105" s="62" t="s">
        <v>560</v>
      </c>
      <c r="B105" s="93" t="s">
        <v>561</v>
      </c>
      <c r="C105" s="63" t="s">
        <v>583</v>
      </c>
      <c r="D105" s="64" t="s">
        <v>584</v>
      </c>
      <c r="E105" s="54" t="s">
        <v>871</v>
      </c>
      <c r="F105" s="65">
        <v>30</v>
      </c>
    </row>
    <row r="106" spans="1:6" s="58" customFormat="1" x14ac:dyDescent="0.2">
      <c r="A106" s="62" t="s">
        <v>560</v>
      </c>
      <c r="B106" s="93" t="s">
        <v>561</v>
      </c>
      <c r="C106" s="63" t="s">
        <v>585</v>
      </c>
      <c r="D106" s="64" t="s">
        <v>586</v>
      </c>
      <c r="E106" s="54" t="s">
        <v>871</v>
      </c>
      <c r="F106" s="65">
        <v>30</v>
      </c>
    </row>
    <row r="107" spans="1:6" s="58" customFormat="1" x14ac:dyDescent="0.2">
      <c r="A107" s="62" t="s">
        <v>560</v>
      </c>
      <c r="B107" s="93" t="s">
        <v>561</v>
      </c>
      <c r="C107" s="63" t="s">
        <v>587</v>
      </c>
      <c r="D107" s="64" t="s">
        <v>588</v>
      </c>
      <c r="E107" s="54" t="s">
        <v>871</v>
      </c>
      <c r="F107" s="65">
        <v>30</v>
      </c>
    </row>
    <row r="108" spans="1:6" s="58" customFormat="1" x14ac:dyDescent="0.2">
      <c r="A108" s="62" t="s">
        <v>560</v>
      </c>
      <c r="B108" s="93" t="s">
        <v>561</v>
      </c>
      <c r="C108" s="63" t="s">
        <v>589</v>
      </c>
      <c r="D108" s="64" t="s">
        <v>590</v>
      </c>
      <c r="E108" s="54" t="s">
        <v>871</v>
      </c>
      <c r="F108" s="65">
        <v>30</v>
      </c>
    </row>
    <row r="109" spans="1:6" s="58" customFormat="1" x14ac:dyDescent="0.2">
      <c r="A109" s="62" t="s">
        <v>560</v>
      </c>
      <c r="B109" s="93" t="s">
        <v>561</v>
      </c>
      <c r="C109" s="63" t="s">
        <v>591</v>
      </c>
      <c r="D109" s="64" t="s">
        <v>592</v>
      </c>
      <c r="E109" s="54" t="s">
        <v>871</v>
      </c>
      <c r="F109" s="65">
        <v>6</v>
      </c>
    </row>
    <row r="110" spans="1:6" s="58" customFormat="1" x14ac:dyDescent="0.2">
      <c r="A110" s="62" t="s">
        <v>560</v>
      </c>
      <c r="B110" s="93" t="s">
        <v>561</v>
      </c>
      <c r="C110" s="63" t="s">
        <v>593</v>
      </c>
      <c r="D110" s="64" t="s">
        <v>594</v>
      </c>
      <c r="E110" s="54" t="s">
        <v>871</v>
      </c>
      <c r="F110" s="65">
        <v>30</v>
      </c>
    </row>
    <row r="111" spans="1:6" s="58" customFormat="1" x14ac:dyDescent="0.2">
      <c r="A111" s="62" t="s">
        <v>560</v>
      </c>
      <c r="B111" s="93" t="s">
        <v>561</v>
      </c>
      <c r="C111" s="63" t="s">
        <v>595</v>
      </c>
      <c r="D111" s="64" t="s">
        <v>596</v>
      </c>
      <c r="E111" s="54" t="s">
        <v>871</v>
      </c>
      <c r="F111" s="65">
        <v>30</v>
      </c>
    </row>
    <row r="112" spans="1:6" s="58" customFormat="1" x14ac:dyDescent="0.2">
      <c r="A112" s="62" t="s">
        <v>560</v>
      </c>
      <c r="B112" s="93" t="s">
        <v>561</v>
      </c>
      <c r="C112" s="63" t="s">
        <v>597</v>
      </c>
      <c r="D112" s="64" t="s">
        <v>598</v>
      </c>
      <c r="E112" s="54" t="s">
        <v>871</v>
      </c>
      <c r="F112" s="65">
        <v>30</v>
      </c>
    </row>
    <row r="113" spans="1:6" s="58" customFormat="1" x14ac:dyDescent="0.2">
      <c r="A113" s="62" t="s">
        <v>560</v>
      </c>
      <c r="B113" s="93" t="s">
        <v>561</v>
      </c>
      <c r="C113" s="63" t="s">
        <v>599</v>
      </c>
      <c r="D113" s="64" t="s">
        <v>600</v>
      </c>
      <c r="E113" s="54" t="s">
        <v>871</v>
      </c>
      <c r="F113" s="65">
        <v>30</v>
      </c>
    </row>
    <row r="114" spans="1:6" s="58" customFormat="1" x14ac:dyDescent="0.2">
      <c r="A114" s="62" t="s">
        <v>560</v>
      </c>
      <c r="B114" s="93" t="s">
        <v>561</v>
      </c>
      <c r="C114" s="63" t="s">
        <v>601</v>
      </c>
      <c r="D114" s="64" t="s">
        <v>602</v>
      </c>
      <c r="E114" s="54" t="s">
        <v>871</v>
      </c>
      <c r="F114" s="65">
        <v>30</v>
      </c>
    </row>
    <row r="115" spans="1:6" s="58" customFormat="1" x14ac:dyDescent="0.2">
      <c r="A115" s="62" t="s">
        <v>560</v>
      </c>
      <c r="B115" s="93" t="s">
        <v>561</v>
      </c>
      <c r="C115" s="63" t="s">
        <v>603</v>
      </c>
      <c r="D115" s="64" t="s">
        <v>604</v>
      </c>
      <c r="E115" s="54" t="s">
        <v>871</v>
      </c>
      <c r="F115" s="65">
        <v>30</v>
      </c>
    </row>
    <row r="116" spans="1:6" s="58" customFormat="1" x14ac:dyDescent="0.2">
      <c r="A116" s="62" t="s">
        <v>560</v>
      </c>
      <c r="B116" s="93" t="s">
        <v>561</v>
      </c>
      <c r="C116" s="63" t="s">
        <v>605</v>
      </c>
      <c r="D116" s="64" t="s">
        <v>606</v>
      </c>
      <c r="E116" s="54" t="s">
        <v>871</v>
      </c>
      <c r="F116" s="65">
        <v>30</v>
      </c>
    </row>
    <row r="117" spans="1:6" s="58" customFormat="1" x14ac:dyDescent="0.2">
      <c r="A117" s="62" t="s">
        <v>560</v>
      </c>
      <c r="B117" s="93" t="s">
        <v>561</v>
      </c>
      <c r="C117" s="63" t="s">
        <v>607</v>
      </c>
      <c r="D117" s="64" t="s">
        <v>608</v>
      </c>
      <c r="E117" s="54" t="s">
        <v>871</v>
      </c>
      <c r="F117" s="65">
        <v>30</v>
      </c>
    </row>
    <row r="118" spans="1:6" s="58" customFormat="1" x14ac:dyDescent="0.2">
      <c r="A118" s="62" t="s">
        <v>560</v>
      </c>
      <c r="B118" s="93" t="s">
        <v>561</v>
      </c>
      <c r="C118" s="63" t="s">
        <v>609</v>
      </c>
      <c r="D118" s="64" t="s">
        <v>610</v>
      </c>
      <c r="E118" s="54" t="s">
        <v>871</v>
      </c>
      <c r="F118" s="65">
        <v>30</v>
      </c>
    </row>
    <row r="119" spans="1:6" s="58" customFormat="1" x14ac:dyDescent="0.2">
      <c r="A119" s="62" t="s">
        <v>560</v>
      </c>
      <c r="B119" s="93" t="s">
        <v>561</v>
      </c>
      <c r="C119" s="63" t="s">
        <v>611</v>
      </c>
      <c r="D119" s="64" t="s">
        <v>612</v>
      </c>
      <c r="E119" s="54" t="s">
        <v>871</v>
      </c>
      <c r="F119" s="65">
        <v>30</v>
      </c>
    </row>
    <row r="120" spans="1:6" s="58" customFormat="1" x14ac:dyDescent="0.2">
      <c r="A120" s="62" t="s">
        <v>560</v>
      </c>
      <c r="B120" s="93" t="s">
        <v>561</v>
      </c>
      <c r="C120" s="63" t="s">
        <v>613</v>
      </c>
      <c r="D120" s="64" t="s">
        <v>614</v>
      </c>
      <c r="E120" s="54" t="s">
        <v>871</v>
      </c>
      <c r="F120" s="65">
        <v>30</v>
      </c>
    </row>
    <row r="121" spans="1:6" s="58" customFormat="1" x14ac:dyDescent="0.2">
      <c r="A121" s="62" t="s">
        <v>560</v>
      </c>
      <c r="B121" s="93" t="s">
        <v>561</v>
      </c>
      <c r="C121" s="63" t="s">
        <v>615</v>
      </c>
      <c r="D121" s="64" t="s">
        <v>616</v>
      </c>
      <c r="E121" s="54" t="s">
        <v>871</v>
      </c>
      <c r="F121" s="65">
        <v>30</v>
      </c>
    </row>
    <row r="122" spans="1:6" s="58" customFormat="1" x14ac:dyDescent="0.2">
      <c r="A122" s="62" t="s">
        <v>560</v>
      </c>
      <c r="B122" s="93" t="s">
        <v>561</v>
      </c>
      <c r="C122" s="63" t="s">
        <v>617</v>
      </c>
      <c r="D122" s="64" t="s">
        <v>618</v>
      </c>
      <c r="E122" s="54" t="s">
        <v>871</v>
      </c>
      <c r="F122" s="65">
        <v>30</v>
      </c>
    </row>
    <row r="123" spans="1:6" s="58" customFormat="1" x14ac:dyDescent="0.2">
      <c r="A123" s="62" t="s">
        <v>560</v>
      </c>
      <c r="B123" s="93" t="s">
        <v>561</v>
      </c>
      <c r="C123" s="63" t="s">
        <v>619</v>
      </c>
      <c r="D123" s="64" t="s">
        <v>620</v>
      </c>
      <c r="E123" s="54" t="s">
        <v>871</v>
      </c>
      <c r="F123" s="65">
        <v>30</v>
      </c>
    </row>
    <row r="124" spans="1:6" s="58" customFormat="1" x14ac:dyDescent="0.2">
      <c r="A124" s="62" t="s">
        <v>560</v>
      </c>
      <c r="B124" s="93" t="s">
        <v>561</v>
      </c>
      <c r="C124" s="63" t="s">
        <v>621</v>
      </c>
      <c r="D124" s="64" t="s">
        <v>622</v>
      </c>
      <c r="E124" s="54" t="s">
        <v>871</v>
      </c>
      <c r="F124" s="65">
        <v>30</v>
      </c>
    </row>
    <row r="125" spans="1:6" s="58" customFormat="1" x14ac:dyDescent="0.2">
      <c r="A125" s="62" t="s">
        <v>560</v>
      </c>
      <c r="B125" s="93" t="s">
        <v>561</v>
      </c>
      <c r="C125" s="63" t="s">
        <v>623</v>
      </c>
      <c r="D125" s="64" t="s">
        <v>624</v>
      </c>
      <c r="E125" s="54" t="s">
        <v>871</v>
      </c>
      <c r="F125" s="65">
        <v>30</v>
      </c>
    </row>
    <row r="126" spans="1:6" s="58" customFormat="1" x14ac:dyDescent="0.2">
      <c r="A126" s="62" t="s">
        <v>560</v>
      </c>
      <c r="B126" s="93" t="s">
        <v>561</v>
      </c>
      <c r="C126" s="63" t="s">
        <v>625</v>
      </c>
      <c r="D126" s="64" t="s">
        <v>626</v>
      </c>
      <c r="E126" s="54" t="s">
        <v>871</v>
      </c>
      <c r="F126" s="65">
        <v>30</v>
      </c>
    </row>
    <row r="127" spans="1:6" s="58" customFormat="1" x14ac:dyDescent="0.2">
      <c r="A127" s="62" t="s">
        <v>560</v>
      </c>
      <c r="B127" s="93" t="s">
        <v>561</v>
      </c>
      <c r="C127" s="63" t="s">
        <v>627</v>
      </c>
      <c r="D127" s="64" t="s">
        <v>628</v>
      </c>
      <c r="E127" s="54" t="s">
        <v>871</v>
      </c>
      <c r="F127" s="65">
        <v>30</v>
      </c>
    </row>
    <row r="128" spans="1:6" s="58" customFormat="1" x14ac:dyDescent="0.2">
      <c r="A128" s="62" t="s">
        <v>560</v>
      </c>
      <c r="B128" s="93" t="s">
        <v>561</v>
      </c>
      <c r="C128" s="63" t="s">
        <v>629</v>
      </c>
      <c r="D128" s="64" t="s">
        <v>630</v>
      </c>
      <c r="E128" s="54" t="s">
        <v>871</v>
      </c>
      <c r="F128" s="65">
        <v>30</v>
      </c>
    </row>
    <row r="129" spans="1:6" s="58" customFormat="1" x14ac:dyDescent="0.2">
      <c r="A129" s="62" t="s">
        <v>560</v>
      </c>
      <c r="B129" s="93" t="s">
        <v>561</v>
      </c>
      <c r="C129" s="63" t="s">
        <v>631</v>
      </c>
      <c r="D129" s="64" t="s">
        <v>632</v>
      </c>
      <c r="E129" s="54" t="s">
        <v>871</v>
      </c>
      <c r="F129" s="65">
        <v>33</v>
      </c>
    </row>
    <row r="130" spans="1:6" s="58" customFormat="1" x14ac:dyDescent="0.2">
      <c r="A130" s="62" t="s">
        <v>560</v>
      </c>
      <c r="B130" s="93" t="s">
        <v>561</v>
      </c>
      <c r="C130" s="63" t="s">
        <v>633</v>
      </c>
      <c r="D130" s="64" t="s">
        <v>634</v>
      </c>
      <c r="E130" s="54" t="s">
        <v>871</v>
      </c>
      <c r="F130" s="65">
        <v>30</v>
      </c>
    </row>
    <row r="131" spans="1:6" s="58" customFormat="1" x14ac:dyDescent="0.2">
      <c r="A131" s="62" t="s">
        <v>560</v>
      </c>
      <c r="B131" s="93" t="s">
        <v>561</v>
      </c>
      <c r="C131" s="63" t="s">
        <v>635</v>
      </c>
      <c r="D131" s="64" t="s">
        <v>636</v>
      </c>
      <c r="E131" s="54" t="s">
        <v>871</v>
      </c>
      <c r="F131" s="65">
        <v>30</v>
      </c>
    </row>
    <row r="132" spans="1:6" s="58" customFormat="1" x14ac:dyDescent="0.2">
      <c r="A132" s="62" t="s">
        <v>560</v>
      </c>
      <c r="B132" s="93" t="s">
        <v>561</v>
      </c>
      <c r="C132" s="63" t="s">
        <v>637</v>
      </c>
      <c r="D132" s="64" t="s">
        <v>638</v>
      </c>
      <c r="E132" s="54" t="s">
        <v>871</v>
      </c>
      <c r="F132" s="65">
        <v>30</v>
      </c>
    </row>
    <row r="133" spans="1:6" s="58" customFormat="1" x14ac:dyDescent="0.2">
      <c r="A133" s="62" t="s">
        <v>560</v>
      </c>
      <c r="B133" s="93" t="s">
        <v>561</v>
      </c>
      <c r="C133" s="63" t="s">
        <v>639</v>
      </c>
      <c r="D133" s="64" t="s">
        <v>640</v>
      </c>
      <c r="E133" s="54" t="s">
        <v>871</v>
      </c>
      <c r="F133" s="65">
        <v>30</v>
      </c>
    </row>
    <row r="134" spans="1:6" s="58" customFormat="1" x14ac:dyDescent="0.2">
      <c r="A134" s="62" t="s">
        <v>560</v>
      </c>
      <c r="B134" s="93" t="s">
        <v>561</v>
      </c>
      <c r="C134" s="63" t="s">
        <v>641</v>
      </c>
      <c r="D134" s="64" t="s">
        <v>642</v>
      </c>
      <c r="E134" s="54" t="s">
        <v>871</v>
      </c>
      <c r="F134" s="65">
        <v>2</v>
      </c>
    </row>
    <row r="135" spans="1:6" s="58" customFormat="1" x14ac:dyDescent="0.2">
      <c r="A135" s="62" t="s">
        <v>560</v>
      </c>
      <c r="B135" s="93" t="s">
        <v>561</v>
      </c>
      <c r="C135" s="63" t="s">
        <v>643</v>
      </c>
      <c r="D135" s="64" t="s">
        <v>644</v>
      </c>
      <c r="E135" s="54" t="s">
        <v>871</v>
      </c>
      <c r="F135" s="65">
        <v>30</v>
      </c>
    </row>
    <row r="136" spans="1:6" s="58" customFormat="1" x14ac:dyDescent="0.2">
      <c r="A136" s="62" t="s">
        <v>560</v>
      </c>
      <c r="B136" s="93" t="s">
        <v>561</v>
      </c>
      <c r="C136" s="63" t="s">
        <v>645</v>
      </c>
      <c r="D136" s="64" t="s">
        <v>646</v>
      </c>
      <c r="E136" s="54" t="s">
        <v>871</v>
      </c>
      <c r="F136" s="65">
        <v>30</v>
      </c>
    </row>
    <row r="137" spans="1:6" s="58" customFormat="1" x14ac:dyDescent="0.2">
      <c r="A137" s="62" t="s">
        <v>560</v>
      </c>
      <c r="B137" s="93" t="s">
        <v>561</v>
      </c>
      <c r="C137" s="63" t="s">
        <v>647</v>
      </c>
      <c r="D137" s="64" t="s">
        <v>648</v>
      </c>
      <c r="E137" s="54" t="s">
        <v>871</v>
      </c>
      <c r="F137" s="65">
        <v>30</v>
      </c>
    </row>
    <row r="138" spans="1:6" s="58" customFormat="1" x14ac:dyDescent="0.2">
      <c r="A138" s="62" t="s">
        <v>560</v>
      </c>
      <c r="B138" s="93" t="s">
        <v>561</v>
      </c>
      <c r="C138" s="63" t="s">
        <v>649</v>
      </c>
      <c r="D138" s="64" t="s">
        <v>650</v>
      </c>
      <c r="E138" s="54" t="s">
        <v>871</v>
      </c>
      <c r="F138" s="65">
        <v>30</v>
      </c>
    </row>
    <row r="139" spans="1:6" s="58" customFormat="1" x14ac:dyDescent="0.2">
      <c r="A139" s="62" t="s">
        <v>560</v>
      </c>
      <c r="B139" s="93" t="s">
        <v>561</v>
      </c>
      <c r="C139" s="63" t="s">
        <v>651</v>
      </c>
      <c r="D139" s="64" t="s">
        <v>652</v>
      </c>
      <c r="E139" s="54" t="s">
        <v>871</v>
      </c>
      <c r="F139" s="65">
        <v>30</v>
      </c>
    </row>
    <row r="140" spans="1:6" s="58" customFormat="1" x14ac:dyDescent="0.2">
      <c r="A140" s="62" t="s">
        <v>560</v>
      </c>
      <c r="B140" s="93" t="s">
        <v>561</v>
      </c>
      <c r="C140" s="63" t="s">
        <v>653</v>
      </c>
      <c r="D140" s="64" t="s">
        <v>654</v>
      </c>
      <c r="E140" s="54" t="s">
        <v>871</v>
      </c>
      <c r="F140" s="65">
        <v>30</v>
      </c>
    </row>
    <row r="141" spans="1:6" s="58" customFormat="1" x14ac:dyDescent="0.2">
      <c r="A141" s="62" t="s">
        <v>560</v>
      </c>
      <c r="B141" s="93" t="s">
        <v>561</v>
      </c>
      <c r="C141" s="63" t="s">
        <v>655</v>
      </c>
      <c r="D141" s="64" t="s">
        <v>656</v>
      </c>
      <c r="E141" s="54" t="s">
        <v>871</v>
      </c>
      <c r="F141" s="65">
        <v>30</v>
      </c>
    </row>
    <row r="142" spans="1:6" s="58" customFormat="1" x14ac:dyDescent="0.2">
      <c r="A142" s="62" t="s">
        <v>560</v>
      </c>
      <c r="B142" s="93" t="s">
        <v>561</v>
      </c>
      <c r="C142" s="63" t="s">
        <v>657</v>
      </c>
      <c r="D142" s="64" t="s">
        <v>658</v>
      </c>
      <c r="E142" s="54" t="s">
        <v>871</v>
      </c>
      <c r="F142" s="65">
        <v>30</v>
      </c>
    </row>
    <row r="143" spans="1:6" s="58" customFormat="1" x14ac:dyDescent="0.2">
      <c r="A143" s="62" t="s">
        <v>560</v>
      </c>
      <c r="B143" s="93" t="s">
        <v>561</v>
      </c>
      <c r="C143" s="63" t="s">
        <v>659</v>
      </c>
      <c r="D143" s="64" t="s">
        <v>660</v>
      </c>
      <c r="E143" s="54" t="s">
        <v>871</v>
      </c>
      <c r="F143" s="65">
        <v>30</v>
      </c>
    </row>
    <row r="144" spans="1:6" s="58" customFormat="1" x14ac:dyDescent="0.2">
      <c r="A144" s="62" t="s">
        <v>560</v>
      </c>
      <c r="B144" s="93" t="s">
        <v>561</v>
      </c>
      <c r="C144" s="63" t="s">
        <v>661</v>
      </c>
      <c r="D144" s="64" t="s">
        <v>662</v>
      </c>
      <c r="E144" s="54" t="s">
        <v>871</v>
      </c>
      <c r="F144" s="65">
        <v>30</v>
      </c>
    </row>
    <row r="145" spans="1:6" s="58" customFormat="1" x14ac:dyDescent="0.2">
      <c r="A145" s="62" t="s">
        <v>560</v>
      </c>
      <c r="B145" s="93" t="s">
        <v>561</v>
      </c>
      <c r="C145" s="63" t="s">
        <v>663</v>
      </c>
      <c r="D145" s="64" t="s">
        <v>664</v>
      </c>
      <c r="E145" s="54" t="s">
        <v>871</v>
      </c>
      <c r="F145" s="65">
        <v>30</v>
      </c>
    </row>
    <row r="146" spans="1:6" s="58" customFormat="1" x14ac:dyDescent="0.2">
      <c r="A146" s="62" t="s">
        <v>560</v>
      </c>
      <c r="B146" s="93" t="s">
        <v>561</v>
      </c>
      <c r="C146" s="63" t="s">
        <v>665</v>
      </c>
      <c r="D146" s="64" t="s">
        <v>666</v>
      </c>
      <c r="E146" s="54" t="s">
        <v>871</v>
      </c>
      <c r="F146" s="65">
        <v>12</v>
      </c>
    </row>
    <row r="147" spans="1:6" s="58" customFormat="1" x14ac:dyDescent="0.2">
      <c r="A147" s="62" t="s">
        <v>560</v>
      </c>
      <c r="B147" s="93" t="s">
        <v>561</v>
      </c>
      <c r="C147" s="63" t="s">
        <v>667</v>
      </c>
      <c r="D147" s="64" t="s">
        <v>668</v>
      </c>
      <c r="E147" s="54" t="s">
        <v>871</v>
      </c>
      <c r="F147" s="65">
        <v>30</v>
      </c>
    </row>
    <row r="148" spans="1:6" s="58" customFormat="1" x14ac:dyDescent="0.2">
      <c r="A148" s="62" t="s">
        <v>560</v>
      </c>
      <c r="B148" s="93" t="s">
        <v>561</v>
      </c>
      <c r="C148" s="63" t="s">
        <v>669</v>
      </c>
      <c r="D148" s="64" t="s">
        <v>670</v>
      </c>
      <c r="E148" s="54" t="s">
        <v>871</v>
      </c>
      <c r="F148" s="65">
        <v>30</v>
      </c>
    </row>
    <row r="149" spans="1:6" s="58" customFormat="1" x14ac:dyDescent="0.2">
      <c r="A149" s="62" t="s">
        <v>560</v>
      </c>
      <c r="B149" s="93" t="s">
        <v>561</v>
      </c>
      <c r="C149" s="63" t="s">
        <v>671</v>
      </c>
      <c r="D149" s="64" t="s">
        <v>672</v>
      </c>
      <c r="E149" s="54" t="s">
        <v>871</v>
      </c>
      <c r="F149" s="65">
        <v>30</v>
      </c>
    </row>
    <row r="150" spans="1:6" s="58" customFormat="1" x14ac:dyDescent="0.2">
      <c r="A150" s="62" t="s">
        <v>560</v>
      </c>
      <c r="B150" s="93" t="s">
        <v>561</v>
      </c>
      <c r="C150" s="63" t="s">
        <v>673</v>
      </c>
      <c r="D150" s="64" t="s">
        <v>674</v>
      </c>
      <c r="E150" s="54" t="s">
        <v>871</v>
      </c>
      <c r="F150" s="65">
        <v>30</v>
      </c>
    </row>
    <row r="151" spans="1:6" x14ac:dyDescent="0.2">
      <c r="B151" s="16"/>
      <c r="C151" s="16"/>
      <c r="D151" s="17"/>
      <c r="E151" s="17"/>
      <c r="F151" s="23"/>
    </row>
    <row r="158" spans="1:6" x14ac:dyDescent="0.2"/>
    <row r="159" spans="1:6" x14ac:dyDescent="0.2"/>
  </sheetData>
  <customSheetViews>
    <customSheetView guid="{747F537D-AE5A-42D1-81B5-51FBA5D2020E}" hiddenColumns="1">
      <selection activeCell="C22" sqref="C22"/>
      <pageMargins left="0" right="0" top="0" bottom="0" header="0" footer="0"/>
    </customSheetView>
  </customSheetViews>
  <mergeCells count="1">
    <mergeCell ref="A1:F1"/>
  </mergeCells>
  <phoneticPr fontId="5" alignment="center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1849-C1A0-47B4-AB66-7E4A431ED356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6F1B-A930-4CEE-819E-9672592DE3F4}">
  <dimension ref="A1:E92"/>
  <sheetViews>
    <sheetView workbookViewId="0">
      <selection activeCell="E14" sqref="E14"/>
    </sheetView>
  </sheetViews>
  <sheetFormatPr defaultColWidth="0" defaultRowHeight="15" zeroHeight="1" x14ac:dyDescent="0.2"/>
  <cols>
    <col min="1" max="1" width="11.97265625" style="18" bestFit="1" customWidth="1"/>
    <col min="2" max="2" width="25.2890625" style="18" bestFit="1" customWidth="1"/>
    <col min="3" max="3" width="8.203125" style="21" bestFit="1" customWidth="1"/>
    <col min="4" max="4" width="8.609375" customWidth="1"/>
    <col min="5" max="5" width="10.22265625" bestFit="1" customWidth="1"/>
    <col min="6" max="16384" width="9.14453125" hidden="1"/>
  </cols>
  <sheetData>
    <row r="1" spans="1:5" s="68" customFormat="1" ht="21" x14ac:dyDescent="0.3">
      <c r="A1" s="123" t="s">
        <v>675</v>
      </c>
      <c r="B1" s="124"/>
      <c r="C1" s="124"/>
    </row>
    <row r="2" spans="1:5" s="3" customFormat="1" x14ac:dyDescent="0.2">
      <c r="A2" s="69" t="s">
        <v>676</v>
      </c>
      <c r="B2" s="69" t="s">
        <v>168</v>
      </c>
      <c r="C2" s="70" t="s">
        <v>169</v>
      </c>
    </row>
    <row r="3" spans="1:5" s="3" customFormat="1" x14ac:dyDescent="0.2">
      <c r="A3" s="69"/>
      <c r="B3" s="69" t="s">
        <v>677</v>
      </c>
      <c r="C3" s="70">
        <v>0.9</v>
      </c>
      <c r="E3" s="71" t="s">
        <v>678</v>
      </c>
    </row>
    <row r="4" spans="1:5" s="3" customFormat="1" x14ac:dyDescent="0.2">
      <c r="A4" s="69"/>
      <c r="B4" s="69" t="s">
        <v>679</v>
      </c>
      <c r="C4" s="70">
        <v>1</v>
      </c>
      <c r="E4" s="71" t="s">
        <v>680</v>
      </c>
    </row>
    <row r="5" spans="1:5" s="3" customFormat="1" x14ac:dyDescent="0.2">
      <c r="A5" s="69" t="s">
        <v>681</v>
      </c>
      <c r="B5" s="69" t="s">
        <v>682</v>
      </c>
      <c r="C5" s="70">
        <v>1</v>
      </c>
    </row>
    <row r="6" spans="1:5" s="3" customFormat="1" x14ac:dyDescent="0.2">
      <c r="A6" s="69">
        <v>23015</v>
      </c>
      <c r="B6" s="69" t="s">
        <v>683</v>
      </c>
      <c r="C6" s="70">
        <v>0.1</v>
      </c>
    </row>
    <row r="7" spans="1:5" s="3" customFormat="1" x14ac:dyDescent="0.2">
      <c r="A7" s="69"/>
      <c r="B7" s="69" t="s">
        <v>684</v>
      </c>
      <c r="C7" s="70">
        <v>0.2</v>
      </c>
    </row>
    <row r="8" spans="1:5" s="3" customFormat="1" x14ac:dyDescent="0.2">
      <c r="A8" s="69" t="s">
        <v>327</v>
      </c>
      <c r="B8" s="69" t="s">
        <v>685</v>
      </c>
      <c r="C8" s="70">
        <v>0.4</v>
      </c>
    </row>
    <row r="9" spans="1:5" s="3" customFormat="1" x14ac:dyDescent="0.2">
      <c r="A9" s="69" t="s">
        <v>686</v>
      </c>
      <c r="B9" s="69" t="s">
        <v>677</v>
      </c>
      <c r="C9" s="70">
        <v>0.3</v>
      </c>
    </row>
    <row r="10" spans="1:5" s="3" customFormat="1" x14ac:dyDescent="0.2">
      <c r="A10" s="69" t="s">
        <v>687</v>
      </c>
      <c r="B10" s="69" t="s">
        <v>688</v>
      </c>
      <c r="C10" s="70">
        <v>0.8</v>
      </c>
    </row>
    <row r="11" spans="1:5" s="3" customFormat="1" x14ac:dyDescent="0.2">
      <c r="A11" s="69" t="s">
        <v>689</v>
      </c>
      <c r="B11" s="69" t="s">
        <v>690</v>
      </c>
      <c r="C11" s="70">
        <v>0.7</v>
      </c>
    </row>
    <row r="12" spans="1:5" s="3" customFormat="1" x14ac:dyDescent="0.2">
      <c r="A12" s="69" t="s">
        <v>318</v>
      </c>
      <c r="B12" s="69" t="s">
        <v>691</v>
      </c>
      <c r="C12" s="70">
        <v>0.5</v>
      </c>
    </row>
    <row r="13" spans="1:5" s="3" customFormat="1" x14ac:dyDescent="0.2">
      <c r="A13" s="69" t="s">
        <v>692</v>
      </c>
      <c r="B13" s="69" t="s">
        <v>690</v>
      </c>
      <c r="C13" s="70">
        <v>1.6</v>
      </c>
    </row>
    <row r="14" spans="1:5" s="3" customFormat="1" x14ac:dyDescent="0.2">
      <c r="A14" s="69" t="s">
        <v>244</v>
      </c>
      <c r="B14" s="69" t="s">
        <v>677</v>
      </c>
      <c r="C14" s="70">
        <v>0.05</v>
      </c>
    </row>
    <row r="15" spans="1:5" s="3" customFormat="1" x14ac:dyDescent="0.2">
      <c r="A15" s="69" t="s">
        <v>318</v>
      </c>
      <c r="B15" s="69" t="s">
        <v>691</v>
      </c>
      <c r="C15" s="70">
        <v>0.1</v>
      </c>
    </row>
    <row r="16" spans="1:5" s="3" customFormat="1" x14ac:dyDescent="0.2">
      <c r="A16" s="69" t="s">
        <v>413</v>
      </c>
      <c r="B16" s="69" t="s">
        <v>693</v>
      </c>
      <c r="C16" s="70">
        <v>0.7</v>
      </c>
    </row>
    <row r="17" spans="1:3" s="3" customFormat="1" x14ac:dyDescent="0.2">
      <c r="A17" s="69" t="s">
        <v>694</v>
      </c>
      <c r="B17" s="69" t="s">
        <v>683</v>
      </c>
      <c r="C17" s="70">
        <v>0.9</v>
      </c>
    </row>
    <row r="18" spans="1:3" s="3" customFormat="1" x14ac:dyDescent="0.2">
      <c r="A18" s="69" t="s">
        <v>695</v>
      </c>
      <c r="B18" s="69" t="s">
        <v>696</v>
      </c>
      <c r="C18" s="70">
        <v>0.1</v>
      </c>
    </row>
    <row r="19" spans="1:3" s="3" customFormat="1" x14ac:dyDescent="0.2">
      <c r="A19" s="69">
        <v>21033</v>
      </c>
      <c r="B19" s="69" t="s">
        <v>697</v>
      </c>
      <c r="C19" s="70">
        <v>0.5</v>
      </c>
    </row>
    <row r="20" spans="1:3" s="3" customFormat="1" x14ac:dyDescent="0.2">
      <c r="A20" s="69">
        <v>23023</v>
      </c>
      <c r="B20" s="69" t="s">
        <v>698</v>
      </c>
      <c r="C20" s="70">
        <v>0.9</v>
      </c>
    </row>
    <row r="21" spans="1:3" s="3" customFormat="1" x14ac:dyDescent="0.2">
      <c r="A21" s="69">
        <v>22003</v>
      </c>
      <c r="B21" s="69" t="s">
        <v>699</v>
      </c>
      <c r="C21" s="70">
        <v>0.8</v>
      </c>
    </row>
    <row r="22" spans="1:3" s="3" customFormat="1" x14ac:dyDescent="0.2">
      <c r="A22" s="69" t="s">
        <v>700</v>
      </c>
      <c r="B22" s="69" t="s">
        <v>701</v>
      </c>
      <c r="C22" s="70">
        <v>0.2</v>
      </c>
    </row>
    <row r="23" spans="1:3" s="3" customFormat="1" x14ac:dyDescent="0.2">
      <c r="A23" s="69" t="s">
        <v>318</v>
      </c>
      <c r="B23" s="69" t="s">
        <v>696</v>
      </c>
      <c r="C23" s="70">
        <v>0.2</v>
      </c>
    </row>
    <row r="24" spans="1:3" s="3" customFormat="1" x14ac:dyDescent="0.2">
      <c r="A24" s="69" t="s">
        <v>318</v>
      </c>
      <c r="B24" s="69" t="s">
        <v>702</v>
      </c>
      <c r="C24" s="70">
        <v>0.3</v>
      </c>
    </row>
    <row r="25" spans="1:3" s="3" customFormat="1" x14ac:dyDescent="0.2">
      <c r="A25" s="69">
        <v>22003</v>
      </c>
      <c r="B25" s="69" t="s">
        <v>703</v>
      </c>
      <c r="C25" s="70">
        <v>0.4</v>
      </c>
    </row>
    <row r="26" spans="1:3" s="3" customFormat="1" x14ac:dyDescent="0.2">
      <c r="A26" s="69">
        <v>24021</v>
      </c>
      <c r="B26" s="69" t="s">
        <v>704</v>
      </c>
      <c r="C26" s="70">
        <v>1</v>
      </c>
    </row>
    <row r="27" spans="1:3" s="3" customFormat="1" x14ac:dyDescent="0.2">
      <c r="A27" s="69">
        <v>22003</v>
      </c>
      <c r="B27" s="69" t="s">
        <v>705</v>
      </c>
      <c r="C27" s="70">
        <v>0.3</v>
      </c>
    </row>
    <row r="28" spans="1:3" s="3" customFormat="1" x14ac:dyDescent="0.2">
      <c r="A28" s="69">
        <v>23028</v>
      </c>
      <c r="B28" s="69" t="s">
        <v>682</v>
      </c>
      <c r="C28" s="70">
        <v>0.3</v>
      </c>
    </row>
    <row r="29" spans="1:3" s="3" customFormat="1" x14ac:dyDescent="0.2">
      <c r="A29" s="69">
        <v>25006</v>
      </c>
      <c r="B29" s="69" t="s">
        <v>706</v>
      </c>
      <c r="C29" s="70">
        <v>1</v>
      </c>
    </row>
    <row r="30" spans="1:3" s="3" customFormat="1" x14ac:dyDescent="0.2">
      <c r="A30" s="69">
        <v>23012</v>
      </c>
      <c r="B30" s="69" t="s">
        <v>707</v>
      </c>
      <c r="C30" s="70">
        <v>1</v>
      </c>
    </row>
    <row r="31" spans="1:3" s="3" customFormat="1" x14ac:dyDescent="0.2">
      <c r="A31" s="69">
        <v>23030</v>
      </c>
      <c r="B31" s="69" t="s">
        <v>708</v>
      </c>
      <c r="C31" s="70">
        <v>1</v>
      </c>
    </row>
    <row r="32" spans="1:3" s="3" customFormat="1" x14ac:dyDescent="0.2">
      <c r="A32" s="69" t="s">
        <v>318</v>
      </c>
      <c r="B32" s="69" t="s">
        <v>679</v>
      </c>
      <c r="C32" s="70">
        <v>0.7</v>
      </c>
    </row>
    <row r="33" spans="1:3" s="3" customFormat="1" x14ac:dyDescent="0.2">
      <c r="A33" s="69">
        <v>24027</v>
      </c>
      <c r="B33" s="69" t="s">
        <v>709</v>
      </c>
      <c r="C33" s="70">
        <v>1</v>
      </c>
    </row>
    <row r="34" spans="1:3" s="3" customFormat="1" x14ac:dyDescent="0.2">
      <c r="A34" s="69">
        <v>23016</v>
      </c>
      <c r="B34" s="69" t="s">
        <v>710</v>
      </c>
      <c r="C34" s="70">
        <v>0.6</v>
      </c>
    </row>
    <row r="35" spans="1:3" s="3" customFormat="1" x14ac:dyDescent="0.2">
      <c r="A35" s="69">
        <v>21033</v>
      </c>
      <c r="B35" s="69" t="s">
        <v>697</v>
      </c>
      <c r="C35" s="70">
        <v>0.7</v>
      </c>
    </row>
    <row r="36" spans="1:3" s="3" customFormat="1" x14ac:dyDescent="0.2">
      <c r="A36" s="69">
        <v>23012</v>
      </c>
      <c r="B36" s="69" t="s">
        <v>691</v>
      </c>
      <c r="C36" s="70">
        <v>0.9</v>
      </c>
    </row>
    <row r="37" spans="1:3" s="3" customFormat="1" x14ac:dyDescent="0.2">
      <c r="A37" s="69">
        <v>24027</v>
      </c>
      <c r="B37" s="69" t="s">
        <v>711</v>
      </c>
      <c r="C37" s="70">
        <v>0.9</v>
      </c>
    </row>
    <row r="38" spans="1:3" s="3" customFormat="1" x14ac:dyDescent="0.2">
      <c r="A38" s="69" t="s">
        <v>318</v>
      </c>
      <c r="B38" s="69" t="s">
        <v>677</v>
      </c>
      <c r="C38" s="70">
        <v>0.9</v>
      </c>
    </row>
    <row r="39" spans="1:3" s="3" customFormat="1" x14ac:dyDescent="0.2">
      <c r="A39" s="69">
        <v>24021</v>
      </c>
      <c r="B39" s="69" t="s">
        <v>712</v>
      </c>
      <c r="C39" s="70">
        <v>0.5</v>
      </c>
    </row>
    <row r="40" spans="1:3" s="3" customFormat="1" x14ac:dyDescent="0.2">
      <c r="A40" s="69">
        <v>23012</v>
      </c>
      <c r="B40" s="69" t="s">
        <v>711</v>
      </c>
      <c r="C40" s="70">
        <v>0.5</v>
      </c>
    </row>
    <row r="41" spans="1:3" s="3" customFormat="1" x14ac:dyDescent="0.2">
      <c r="A41" s="69">
        <v>23015</v>
      </c>
      <c r="B41" s="69" t="s">
        <v>688</v>
      </c>
      <c r="C41" s="70">
        <v>0.5</v>
      </c>
    </row>
    <row r="42" spans="1:3" s="3" customFormat="1" x14ac:dyDescent="0.2">
      <c r="A42" s="69" t="s">
        <v>318</v>
      </c>
      <c r="B42" s="69" t="s">
        <v>684</v>
      </c>
      <c r="C42" s="70">
        <v>0.2</v>
      </c>
    </row>
    <row r="43" spans="1:3" s="3" customFormat="1" x14ac:dyDescent="0.2">
      <c r="A43" s="69" t="s">
        <v>713</v>
      </c>
      <c r="B43" s="69" t="s">
        <v>714</v>
      </c>
      <c r="C43" s="70">
        <v>15</v>
      </c>
    </row>
    <row r="44" spans="1:3" s="3" customFormat="1" x14ac:dyDescent="0.2">
      <c r="A44" s="69">
        <v>24021</v>
      </c>
      <c r="B44" s="69" t="s">
        <v>712</v>
      </c>
      <c r="C44" s="70">
        <v>3</v>
      </c>
    </row>
    <row r="45" spans="1:3" s="3" customFormat="1" x14ac:dyDescent="0.2">
      <c r="A45" s="69">
        <v>24021</v>
      </c>
      <c r="B45" s="69" t="s">
        <v>715</v>
      </c>
      <c r="C45" s="70">
        <v>7</v>
      </c>
    </row>
    <row r="46" spans="1:3" s="3" customFormat="1" x14ac:dyDescent="0.2">
      <c r="A46" s="69">
        <v>23003</v>
      </c>
      <c r="B46" s="69" t="s">
        <v>716</v>
      </c>
      <c r="C46" s="70">
        <v>1</v>
      </c>
    </row>
    <row r="47" spans="1:3" s="3" customFormat="1" x14ac:dyDescent="0.2">
      <c r="A47" s="69">
        <v>24028</v>
      </c>
      <c r="B47" s="69" t="s">
        <v>717</v>
      </c>
      <c r="C47" s="70">
        <v>9.6</v>
      </c>
    </row>
    <row r="48" spans="1:3" s="3" customFormat="1" x14ac:dyDescent="0.2">
      <c r="A48" s="69">
        <v>25025</v>
      </c>
      <c r="B48" s="69" t="s">
        <v>718</v>
      </c>
      <c r="C48" s="70">
        <v>2</v>
      </c>
    </row>
    <row r="49" spans="1:3" s="3" customFormat="1" x14ac:dyDescent="0.2">
      <c r="A49" s="69">
        <v>25021</v>
      </c>
      <c r="B49" s="69" t="s">
        <v>719</v>
      </c>
      <c r="C49" s="70">
        <v>1</v>
      </c>
    </row>
    <row r="50" spans="1:3" s="3" customFormat="1" x14ac:dyDescent="0.2">
      <c r="A50" s="69">
        <v>23016</v>
      </c>
      <c r="B50" s="69" t="s">
        <v>720</v>
      </c>
      <c r="C50" s="70">
        <v>0.1</v>
      </c>
    </row>
    <row r="51" spans="1:3" s="3" customFormat="1" x14ac:dyDescent="0.2">
      <c r="A51" s="69">
        <v>21050</v>
      </c>
      <c r="B51" s="69" t="s">
        <v>721</v>
      </c>
      <c r="C51" s="70">
        <v>1</v>
      </c>
    </row>
    <row r="52" spans="1:3" s="3" customFormat="1" x14ac:dyDescent="0.2">
      <c r="A52" s="69">
        <v>20040</v>
      </c>
      <c r="B52" s="69" t="s">
        <v>722</v>
      </c>
      <c r="C52" s="70">
        <v>2</v>
      </c>
    </row>
    <row r="53" spans="1:3" s="3" customFormat="1" x14ac:dyDescent="0.2">
      <c r="A53" s="69" t="s">
        <v>318</v>
      </c>
      <c r="B53" s="69" t="s">
        <v>723</v>
      </c>
      <c r="C53" s="70" t="s">
        <v>724</v>
      </c>
    </row>
    <row r="54" spans="1:3" s="3" customFormat="1" x14ac:dyDescent="0.2">
      <c r="A54" s="69">
        <v>20044</v>
      </c>
      <c r="B54" s="69" t="s">
        <v>725</v>
      </c>
      <c r="C54" s="70">
        <v>2</v>
      </c>
    </row>
    <row r="55" spans="1:3" s="3" customFormat="1" x14ac:dyDescent="0.2">
      <c r="A55" s="69">
        <v>21003</v>
      </c>
      <c r="B55" s="69" t="s">
        <v>726</v>
      </c>
      <c r="C55" s="70">
        <v>2</v>
      </c>
    </row>
    <row r="56" spans="1:3" s="3" customFormat="1" x14ac:dyDescent="0.2">
      <c r="A56" s="69">
        <v>23023</v>
      </c>
      <c r="B56" s="69" t="s">
        <v>679</v>
      </c>
      <c r="C56" s="70">
        <v>1</v>
      </c>
    </row>
    <row r="57" spans="1:3" s="3" customFormat="1" x14ac:dyDescent="0.2">
      <c r="A57" s="69">
        <v>25035</v>
      </c>
      <c r="B57" s="69" t="s">
        <v>679</v>
      </c>
      <c r="C57" s="70">
        <v>0.1</v>
      </c>
    </row>
    <row r="58" spans="1:3" s="3" customFormat="1" x14ac:dyDescent="0.2">
      <c r="A58" s="69">
        <v>24022</v>
      </c>
      <c r="B58" s="69" t="s">
        <v>727</v>
      </c>
      <c r="C58" s="70">
        <v>1</v>
      </c>
    </row>
    <row r="59" spans="1:3" s="3" customFormat="1" x14ac:dyDescent="0.2">
      <c r="A59" s="69">
        <v>21015</v>
      </c>
      <c r="B59" s="69" t="s">
        <v>728</v>
      </c>
      <c r="C59" s="70" t="s">
        <v>724</v>
      </c>
    </row>
    <row r="60" spans="1:3" s="3" customFormat="1" x14ac:dyDescent="0.2">
      <c r="A60" s="69" t="s">
        <v>713</v>
      </c>
      <c r="B60" s="69" t="s">
        <v>721</v>
      </c>
      <c r="C60" s="70">
        <v>2</v>
      </c>
    </row>
    <row r="61" spans="1:3" s="3" customFormat="1" x14ac:dyDescent="0.2">
      <c r="A61" s="69" t="s">
        <v>713</v>
      </c>
      <c r="B61" s="69" t="s">
        <v>729</v>
      </c>
      <c r="C61" s="70">
        <v>1</v>
      </c>
    </row>
    <row r="62" spans="1:3" s="3" customFormat="1" x14ac:dyDescent="0.2">
      <c r="A62" s="69" t="s">
        <v>713</v>
      </c>
      <c r="B62" s="69" t="s">
        <v>730</v>
      </c>
      <c r="C62" s="70">
        <v>3</v>
      </c>
    </row>
    <row r="63" spans="1:3" s="3" customFormat="1" x14ac:dyDescent="0.2">
      <c r="A63" s="69" t="s">
        <v>713</v>
      </c>
      <c r="B63" s="69" t="s">
        <v>731</v>
      </c>
      <c r="C63" s="70">
        <v>2</v>
      </c>
    </row>
    <row r="64" spans="1:3" s="3" customFormat="1" x14ac:dyDescent="0.2">
      <c r="A64" s="69" t="s">
        <v>713</v>
      </c>
      <c r="B64" s="69" t="s">
        <v>732</v>
      </c>
      <c r="C64" s="70">
        <v>3</v>
      </c>
    </row>
    <row r="65" spans="1:3" s="3" customFormat="1" x14ac:dyDescent="0.2">
      <c r="A65" s="69" t="s">
        <v>713</v>
      </c>
      <c r="B65" s="69" t="s">
        <v>733</v>
      </c>
      <c r="C65" s="70">
        <v>3</v>
      </c>
    </row>
    <row r="66" spans="1:3" s="3" customFormat="1" x14ac:dyDescent="0.2">
      <c r="A66" s="69" t="s">
        <v>713</v>
      </c>
      <c r="B66" s="69" t="s">
        <v>734</v>
      </c>
      <c r="C66" s="70">
        <v>1</v>
      </c>
    </row>
    <row r="67" spans="1:3" s="3" customFormat="1" x14ac:dyDescent="0.2">
      <c r="A67" s="69" t="s">
        <v>713</v>
      </c>
      <c r="B67" s="69" t="s">
        <v>691</v>
      </c>
      <c r="C67" s="70">
        <v>2</v>
      </c>
    </row>
    <row r="68" spans="1:3" s="3" customFormat="1" x14ac:dyDescent="0.2">
      <c r="A68" s="69" t="s">
        <v>713</v>
      </c>
      <c r="B68" s="69" t="s">
        <v>735</v>
      </c>
      <c r="C68" s="70">
        <v>2</v>
      </c>
    </row>
    <row r="69" spans="1:3" s="3" customFormat="1" x14ac:dyDescent="0.2">
      <c r="A69" s="69" t="s">
        <v>713</v>
      </c>
      <c r="B69" s="69" t="s">
        <v>725</v>
      </c>
      <c r="C69" s="70">
        <v>2</v>
      </c>
    </row>
    <row r="70" spans="1:3" s="3" customFormat="1" x14ac:dyDescent="0.2">
      <c r="A70" s="69" t="s">
        <v>713</v>
      </c>
      <c r="B70" s="69" t="s">
        <v>736</v>
      </c>
      <c r="C70" s="70">
        <v>1</v>
      </c>
    </row>
    <row r="71" spans="1:3" s="3" customFormat="1" x14ac:dyDescent="0.2">
      <c r="A71" s="69" t="s">
        <v>713</v>
      </c>
      <c r="B71" s="69" t="s">
        <v>737</v>
      </c>
      <c r="C71" s="70">
        <v>1</v>
      </c>
    </row>
    <row r="72" spans="1:3" s="3" customFormat="1" x14ac:dyDescent="0.2">
      <c r="A72" s="69" t="s">
        <v>713</v>
      </c>
      <c r="B72" s="69" t="s">
        <v>738</v>
      </c>
      <c r="C72" s="70">
        <v>2</v>
      </c>
    </row>
    <row r="73" spans="1:3" s="3" customFormat="1" x14ac:dyDescent="0.2">
      <c r="A73" s="69" t="s">
        <v>713</v>
      </c>
      <c r="B73" s="69" t="s">
        <v>739</v>
      </c>
      <c r="C73" s="70">
        <v>1</v>
      </c>
    </row>
    <row r="74" spans="1:3" s="3" customFormat="1" x14ac:dyDescent="0.2">
      <c r="A74" s="69" t="s">
        <v>713</v>
      </c>
      <c r="B74" s="69" t="s">
        <v>740</v>
      </c>
      <c r="C74" s="70">
        <v>1</v>
      </c>
    </row>
    <row r="75" spans="1:3" s="3" customFormat="1" x14ac:dyDescent="0.2">
      <c r="A75" s="69">
        <v>21049</v>
      </c>
      <c r="B75" s="69" t="s">
        <v>683</v>
      </c>
      <c r="C75" s="70">
        <v>0.4</v>
      </c>
    </row>
    <row r="76" spans="1:3" s="3" customFormat="1" x14ac:dyDescent="0.2">
      <c r="A76" s="69">
        <v>23012</v>
      </c>
      <c r="B76" s="69" t="s">
        <v>741</v>
      </c>
      <c r="C76" s="70">
        <v>0.7</v>
      </c>
    </row>
    <row r="77" spans="1:3" s="3" customFormat="1" x14ac:dyDescent="0.2">
      <c r="A77" s="69">
        <v>23025</v>
      </c>
      <c r="B77" s="69" t="s">
        <v>742</v>
      </c>
      <c r="C77" s="70">
        <v>0.1</v>
      </c>
    </row>
    <row r="78" spans="1:3" s="3" customFormat="1" x14ac:dyDescent="0.2">
      <c r="A78" s="69">
        <v>23012</v>
      </c>
      <c r="B78" s="69" t="s">
        <v>691</v>
      </c>
      <c r="C78" s="70">
        <v>0.5</v>
      </c>
    </row>
    <row r="79" spans="1:3" s="3" customFormat="1" x14ac:dyDescent="0.2">
      <c r="A79" s="69">
        <v>24012</v>
      </c>
      <c r="B79" s="69" t="s">
        <v>743</v>
      </c>
      <c r="C79" s="70">
        <v>0.2</v>
      </c>
    </row>
    <row r="80" spans="1:3" s="3" customFormat="1" x14ac:dyDescent="0.2">
      <c r="A80" s="69">
        <v>23025</v>
      </c>
      <c r="B80" s="69" t="s">
        <v>698</v>
      </c>
      <c r="C80" s="70">
        <v>0.9</v>
      </c>
    </row>
    <row r="81" spans="1:3" s="3" customFormat="1" x14ac:dyDescent="0.2">
      <c r="A81" s="69">
        <v>24012</v>
      </c>
      <c r="B81" s="69" t="s">
        <v>716</v>
      </c>
      <c r="C81" s="70">
        <v>0.2</v>
      </c>
    </row>
    <row r="82" spans="1:3" s="3" customFormat="1" x14ac:dyDescent="0.2">
      <c r="A82" s="69" t="s">
        <v>744</v>
      </c>
      <c r="B82" s="69" t="s">
        <v>745</v>
      </c>
      <c r="C82" s="70">
        <v>0.4</v>
      </c>
    </row>
    <row r="83" spans="1:3" s="3" customFormat="1" x14ac:dyDescent="0.2">
      <c r="A83" s="69">
        <v>24022</v>
      </c>
      <c r="B83" s="69" t="s">
        <v>727</v>
      </c>
      <c r="C83" s="70">
        <v>1</v>
      </c>
    </row>
    <row r="84" spans="1:3" s="3" customFormat="1" x14ac:dyDescent="0.2">
      <c r="A84" s="69">
        <v>24017</v>
      </c>
      <c r="B84" s="69" t="s">
        <v>746</v>
      </c>
      <c r="C84" s="70">
        <v>0.1</v>
      </c>
    </row>
    <row r="85" spans="1:3" s="3" customFormat="1" x14ac:dyDescent="0.2">
      <c r="A85" s="69">
        <v>23021</v>
      </c>
      <c r="B85" s="69" t="s">
        <v>747</v>
      </c>
      <c r="C85" s="70">
        <v>0.3</v>
      </c>
    </row>
    <row r="86" spans="1:3" s="3" customFormat="1" x14ac:dyDescent="0.2">
      <c r="A86" s="69" t="s">
        <v>748</v>
      </c>
      <c r="B86" s="69" t="s">
        <v>749</v>
      </c>
      <c r="C86" s="70">
        <v>11</v>
      </c>
    </row>
    <row r="87" spans="1:3" s="3" customFormat="1" x14ac:dyDescent="0.2">
      <c r="A87" s="69" t="s">
        <v>748</v>
      </c>
      <c r="B87" s="69" t="s">
        <v>750</v>
      </c>
      <c r="C87" s="70">
        <v>11</v>
      </c>
    </row>
    <row r="88" spans="1:3" x14ac:dyDescent="0.2"/>
    <row r="89" spans="1:3" x14ac:dyDescent="0.2"/>
    <row r="90" spans="1:3" x14ac:dyDescent="0.2"/>
    <row r="91" spans="1:3" x14ac:dyDescent="0.2"/>
    <row r="92" spans="1:3" ht="14.25" customHeight="1" x14ac:dyDescent="0.2"/>
  </sheetData>
  <customSheetViews>
    <customSheetView guid="{747F537D-AE5A-42D1-81B5-51FBA5D2020E}">
      <pageMargins left="0" right="0" top="0" bottom="0" header="0" footer="0"/>
    </customSheetView>
  </customSheetViews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B79E-EE62-44FB-B36F-C2A15C524F19}">
  <dimension ref="A1:G42"/>
  <sheetViews>
    <sheetView workbookViewId="0">
      <selection activeCell="F17" sqref="F17"/>
    </sheetView>
  </sheetViews>
  <sheetFormatPr defaultColWidth="0" defaultRowHeight="15" zeroHeight="1" x14ac:dyDescent="0.2"/>
  <cols>
    <col min="1" max="1" width="14.9296875" style="19" bestFit="1" customWidth="1"/>
    <col min="2" max="3" width="8.609375" style="19" customWidth="1"/>
    <col min="4" max="4" width="10.76171875" style="19" bestFit="1" customWidth="1"/>
    <col min="5" max="5" width="8.203125" style="20" bestFit="1" customWidth="1"/>
    <col min="6" max="6" width="9.4140625" style="19" bestFit="1" customWidth="1"/>
    <col min="7" max="7" width="8.609375" customWidth="1"/>
    <col min="8" max="16384" width="9.14453125" hidden="1"/>
  </cols>
  <sheetData>
    <row r="1" spans="1:6" ht="21" x14ac:dyDescent="0.3">
      <c r="A1" s="125" t="s">
        <v>3</v>
      </c>
      <c r="B1" s="125"/>
      <c r="C1" s="125"/>
      <c r="D1" s="125"/>
      <c r="E1" s="125"/>
      <c r="F1" s="125"/>
    </row>
    <row r="2" spans="1:6" s="1" customFormat="1" x14ac:dyDescent="0.2">
      <c r="A2" s="7" t="s">
        <v>751</v>
      </c>
      <c r="B2" s="7" t="s">
        <v>419</v>
      </c>
      <c r="C2" s="1" t="s">
        <v>168</v>
      </c>
      <c r="D2" s="1" t="s">
        <v>752</v>
      </c>
      <c r="E2" s="7" t="s">
        <v>169</v>
      </c>
      <c r="F2" s="7" t="s">
        <v>753</v>
      </c>
    </row>
    <row r="3" spans="1:6" s="1" customFormat="1" x14ac:dyDescent="0.2">
      <c r="A3" s="89" t="s">
        <v>754</v>
      </c>
      <c r="B3" s="89">
        <v>1.75</v>
      </c>
      <c r="C3" s="89"/>
      <c r="D3" s="89"/>
      <c r="E3" s="90">
        <v>5</v>
      </c>
      <c r="F3" s="7" t="s">
        <v>755</v>
      </c>
    </row>
    <row r="4" spans="1:6" s="1" customFormat="1" x14ac:dyDescent="0.2">
      <c r="A4" s="89" t="s">
        <v>756</v>
      </c>
      <c r="B4" s="89">
        <v>1.25</v>
      </c>
      <c r="C4" s="89"/>
      <c r="D4" s="89"/>
      <c r="E4" s="90">
        <v>4</v>
      </c>
      <c r="F4" s="7" t="s">
        <v>755</v>
      </c>
    </row>
    <row r="5" spans="1:6" s="1" customFormat="1" x14ac:dyDescent="0.2">
      <c r="A5" s="89" t="s">
        <v>756</v>
      </c>
      <c r="B5" s="89">
        <v>1</v>
      </c>
      <c r="C5" s="89"/>
      <c r="D5" s="89"/>
      <c r="E5" s="90"/>
      <c r="F5" s="7"/>
    </row>
    <row r="6" spans="1:6" s="1" customFormat="1" ht="17.25" customHeight="1" x14ac:dyDescent="0.2">
      <c r="A6" s="89" t="s">
        <v>757</v>
      </c>
      <c r="B6" s="89"/>
      <c r="C6" s="89"/>
      <c r="D6" s="89"/>
      <c r="E6" s="90">
        <v>5.5</v>
      </c>
      <c r="F6" s="7" t="s">
        <v>755</v>
      </c>
    </row>
    <row r="7" spans="1:6" s="1" customFormat="1" x14ac:dyDescent="0.2">
      <c r="A7" s="89" t="s">
        <v>758</v>
      </c>
      <c r="B7" s="89"/>
      <c r="C7" s="89" t="s">
        <v>759</v>
      </c>
      <c r="D7" s="89"/>
      <c r="E7" s="90"/>
      <c r="F7" s="7"/>
    </row>
    <row r="8" spans="1:6" s="1" customFormat="1" x14ac:dyDescent="0.2">
      <c r="A8" s="89" t="s">
        <v>758</v>
      </c>
      <c r="B8" s="89"/>
      <c r="C8" s="89" t="s">
        <v>760</v>
      </c>
      <c r="D8" s="89"/>
      <c r="E8" s="90"/>
      <c r="F8" s="7"/>
    </row>
    <row r="9" spans="1:6" s="1" customFormat="1" x14ac:dyDescent="0.2">
      <c r="A9" s="89" t="s">
        <v>758</v>
      </c>
      <c r="B9" s="89"/>
      <c r="C9" s="89" t="s">
        <v>706</v>
      </c>
      <c r="D9" s="89"/>
      <c r="E9" s="90"/>
      <c r="F9" s="7"/>
    </row>
    <row r="10" spans="1:6" s="1" customFormat="1" x14ac:dyDescent="0.2">
      <c r="A10" s="89" t="s">
        <v>758</v>
      </c>
      <c r="B10" s="89"/>
      <c r="C10" s="89" t="s">
        <v>729</v>
      </c>
      <c r="D10" s="89"/>
      <c r="E10" s="90"/>
      <c r="F10" s="7"/>
    </row>
    <row r="11" spans="1:6" s="1" customFormat="1" x14ac:dyDescent="0.2">
      <c r="A11" s="89" t="s">
        <v>758</v>
      </c>
      <c r="B11" s="89"/>
      <c r="C11" s="89" t="s">
        <v>761</v>
      </c>
      <c r="D11" s="89"/>
      <c r="E11" s="90"/>
      <c r="F11" s="7"/>
    </row>
    <row r="12" spans="1:6" s="1" customFormat="1" x14ac:dyDescent="0.2">
      <c r="A12" s="89" t="s">
        <v>758</v>
      </c>
      <c r="B12" s="89"/>
      <c r="C12" s="89" t="s">
        <v>762</v>
      </c>
      <c r="D12" s="89"/>
      <c r="E12" s="90"/>
      <c r="F12" s="7"/>
    </row>
    <row r="13" spans="1:6" s="1" customFormat="1" x14ac:dyDescent="0.2">
      <c r="A13" s="89" t="s">
        <v>758</v>
      </c>
      <c r="B13" s="89"/>
      <c r="C13" s="89" t="s">
        <v>763</v>
      </c>
      <c r="D13" s="89"/>
      <c r="E13" s="90"/>
      <c r="F13" s="7"/>
    </row>
    <row r="14" spans="1:6" s="1" customFormat="1" x14ac:dyDescent="0.2">
      <c r="A14" s="89" t="s">
        <v>764</v>
      </c>
      <c r="B14" s="89" t="s">
        <v>765</v>
      </c>
      <c r="C14" s="89"/>
      <c r="D14" s="89"/>
      <c r="E14" s="90">
        <v>7.5</v>
      </c>
      <c r="F14" s="7"/>
    </row>
    <row r="15" spans="1:6" s="1" customFormat="1" x14ac:dyDescent="0.2">
      <c r="A15" s="89" t="s">
        <v>764</v>
      </c>
      <c r="B15" s="89" t="s">
        <v>766</v>
      </c>
      <c r="C15" s="89"/>
      <c r="D15" s="89"/>
      <c r="E15" s="90">
        <v>2.5</v>
      </c>
      <c r="F15" s="7"/>
    </row>
    <row r="16" spans="1:6" s="1" customFormat="1" x14ac:dyDescent="0.2">
      <c r="A16" s="89" t="s">
        <v>767</v>
      </c>
      <c r="B16" s="89"/>
      <c r="C16" s="89"/>
      <c r="D16" s="89"/>
      <c r="E16" s="90">
        <v>11</v>
      </c>
      <c r="F16" s="7"/>
    </row>
    <row r="17" spans="1:6" s="1" customFormat="1" x14ac:dyDescent="0.2">
      <c r="A17" s="89" t="s">
        <v>768</v>
      </c>
      <c r="B17" s="89"/>
      <c r="C17" s="89"/>
      <c r="D17" s="89"/>
      <c r="E17" s="90">
        <v>10</v>
      </c>
      <c r="F17" s="7"/>
    </row>
    <row r="18" spans="1:6" s="1" customFormat="1" x14ac:dyDescent="0.2">
      <c r="A18" s="89" t="s">
        <v>769</v>
      </c>
      <c r="B18" s="7"/>
      <c r="C18" s="7"/>
      <c r="D18" s="7"/>
      <c r="E18" s="90">
        <v>1</v>
      </c>
      <c r="F18" s="7"/>
    </row>
    <row r="19" spans="1:6" s="1" customFormat="1" x14ac:dyDescent="0.2">
      <c r="A19" s="89" t="s">
        <v>770</v>
      </c>
      <c r="B19" s="7"/>
      <c r="C19" s="7"/>
      <c r="D19" s="7"/>
      <c r="E19" s="90">
        <v>3</v>
      </c>
      <c r="F19" s="7"/>
    </row>
    <row r="20" spans="1:6" s="1" customFormat="1" x14ac:dyDescent="0.2">
      <c r="A20" s="89" t="s">
        <v>771</v>
      </c>
      <c r="B20" s="7"/>
      <c r="C20" s="7"/>
      <c r="D20" s="7"/>
      <c r="E20" s="90">
        <v>1</v>
      </c>
      <c r="F20" s="7"/>
    </row>
    <row r="21" spans="1:6" s="1" customFormat="1" x14ac:dyDescent="0.2">
      <c r="A21" s="7" t="s">
        <v>772</v>
      </c>
      <c r="B21" s="7"/>
      <c r="C21" s="7" t="s">
        <v>706</v>
      </c>
      <c r="D21" s="7"/>
      <c r="E21" s="24"/>
      <c r="F21" s="7"/>
    </row>
    <row r="22" spans="1:6" s="1" customFormat="1" x14ac:dyDescent="0.2">
      <c r="A22" s="7" t="s">
        <v>772</v>
      </c>
      <c r="B22" s="7"/>
      <c r="C22" s="7" t="s">
        <v>773</v>
      </c>
      <c r="D22" s="7"/>
      <c r="E22" s="24">
        <v>25</v>
      </c>
      <c r="F22" s="7" t="s">
        <v>755</v>
      </c>
    </row>
    <row r="23" spans="1:6" s="1" customFormat="1" x14ac:dyDescent="0.2">
      <c r="A23" s="7" t="s">
        <v>774</v>
      </c>
      <c r="B23" s="7"/>
      <c r="D23" s="1" t="s">
        <v>775</v>
      </c>
      <c r="E23" s="24">
        <v>24000</v>
      </c>
      <c r="F23" s="7" t="s">
        <v>776</v>
      </c>
    </row>
    <row r="24" spans="1:6" s="1" customFormat="1" x14ac:dyDescent="0.2">
      <c r="A24" s="7" t="s">
        <v>777</v>
      </c>
      <c r="B24" s="7"/>
      <c r="E24" s="24">
        <v>1</v>
      </c>
      <c r="F24" s="7" t="s">
        <v>778</v>
      </c>
    </row>
    <row r="25" spans="1:6" s="1" customFormat="1" x14ac:dyDescent="0.2">
      <c r="A25" s="7" t="s">
        <v>779</v>
      </c>
      <c r="B25" s="7"/>
      <c r="E25" s="24">
        <v>5100</v>
      </c>
      <c r="F25" s="7"/>
    </row>
    <row r="26" spans="1:6" s="1" customFormat="1" x14ac:dyDescent="0.2">
      <c r="A26" s="7" t="s">
        <v>780</v>
      </c>
      <c r="B26" s="7"/>
      <c r="C26" s="7" t="s">
        <v>706</v>
      </c>
      <c r="D26" s="7"/>
      <c r="E26" s="24">
        <v>45</v>
      </c>
      <c r="F26" s="7" t="s">
        <v>755</v>
      </c>
    </row>
    <row r="27" spans="1:6" s="1" customFormat="1" x14ac:dyDescent="0.2">
      <c r="A27" s="7" t="s">
        <v>781</v>
      </c>
      <c r="B27" s="7"/>
      <c r="E27" s="24">
        <v>17000</v>
      </c>
    </row>
    <row r="28" spans="1:6" s="1" customFormat="1" x14ac:dyDescent="0.2">
      <c r="A28" s="7" t="s">
        <v>782</v>
      </c>
      <c r="B28" s="7"/>
      <c r="C28" s="7"/>
      <c r="D28" s="7"/>
      <c r="E28" s="24">
        <v>3250</v>
      </c>
      <c r="F28" s="7"/>
    </row>
    <row r="29" spans="1:6" s="1" customFormat="1" x14ac:dyDescent="0.2">
      <c r="A29" s="7" t="s">
        <v>783</v>
      </c>
      <c r="B29" s="7"/>
      <c r="C29" s="7"/>
      <c r="D29" s="7"/>
      <c r="E29" s="24">
        <v>500</v>
      </c>
      <c r="F29" s="7"/>
    </row>
    <row r="30" spans="1:6" s="1" customFormat="1" x14ac:dyDescent="0.2">
      <c r="A30" s="7" t="s">
        <v>784</v>
      </c>
      <c r="B30" s="7"/>
      <c r="C30" s="7"/>
      <c r="D30" s="7"/>
      <c r="E30" s="24">
        <v>4500</v>
      </c>
      <c r="F30" s="7"/>
    </row>
    <row r="31" spans="1:6" s="1" customFormat="1" x14ac:dyDescent="0.2">
      <c r="A31" s="15" t="s">
        <v>785</v>
      </c>
      <c r="B31" s="15"/>
      <c r="C31" s="7"/>
      <c r="D31" s="7"/>
      <c r="E31" s="22">
        <v>2500</v>
      </c>
      <c r="F31" s="7"/>
    </row>
    <row r="32" spans="1:6" s="1" customFormat="1" x14ac:dyDescent="0.2">
      <c r="A32" s="7" t="s">
        <v>786</v>
      </c>
      <c r="B32" s="7"/>
      <c r="C32" s="7"/>
      <c r="D32" s="7"/>
      <c r="E32" s="24">
        <v>2</v>
      </c>
      <c r="F32" s="7" t="s">
        <v>755</v>
      </c>
    </row>
    <row r="33" spans="1:6" s="1" customFormat="1" x14ac:dyDescent="0.2">
      <c r="A33" s="7" t="s">
        <v>787</v>
      </c>
      <c r="B33" s="7"/>
      <c r="C33" s="7"/>
      <c r="D33" s="7"/>
      <c r="E33" s="24">
        <v>2</v>
      </c>
      <c r="F33" s="7" t="s">
        <v>755</v>
      </c>
    </row>
    <row r="34" spans="1:6" s="1" customFormat="1" x14ac:dyDescent="0.2">
      <c r="A34" s="7" t="s">
        <v>788</v>
      </c>
      <c r="B34" s="7"/>
      <c r="C34" s="7"/>
      <c r="D34" s="7"/>
      <c r="E34" s="24">
        <v>10</v>
      </c>
      <c r="F34" s="7"/>
    </row>
    <row r="35" spans="1:6" s="1" customFormat="1" x14ac:dyDescent="0.2">
      <c r="A35" s="7" t="s">
        <v>789</v>
      </c>
      <c r="B35" s="7"/>
      <c r="C35" s="7"/>
      <c r="D35" s="7"/>
      <c r="E35" s="24">
        <v>48</v>
      </c>
      <c r="F35" s="7"/>
    </row>
    <row r="36" spans="1:6" s="1" customFormat="1" x14ac:dyDescent="0.2">
      <c r="A36" s="7" t="s">
        <v>790</v>
      </c>
      <c r="B36" s="7"/>
      <c r="C36" s="7"/>
      <c r="D36" s="7"/>
      <c r="E36" s="24">
        <v>17</v>
      </c>
      <c r="F36" s="7" t="s">
        <v>755</v>
      </c>
    </row>
    <row r="37" spans="1:6" s="1" customFormat="1" x14ac:dyDescent="0.2">
      <c r="A37" s="7" t="s">
        <v>791</v>
      </c>
      <c r="B37" s="7"/>
      <c r="C37" s="7"/>
      <c r="D37" s="7"/>
      <c r="E37" s="24">
        <v>17</v>
      </c>
      <c r="F37" s="7" t="s">
        <v>755</v>
      </c>
    </row>
    <row r="38" spans="1:6" s="1" customFormat="1" x14ac:dyDescent="0.2">
      <c r="A38" s="7" t="s">
        <v>785</v>
      </c>
      <c r="B38" s="7"/>
      <c r="C38" s="7"/>
      <c r="D38" s="7"/>
      <c r="E38" s="24">
        <v>1000</v>
      </c>
      <c r="F38" s="7"/>
    </row>
    <row r="39" spans="1:6" s="1" customFormat="1" x14ac:dyDescent="0.2">
      <c r="A39" s="7" t="s">
        <v>792</v>
      </c>
      <c r="B39" s="7"/>
      <c r="C39" s="7"/>
      <c r="D39" s="7"/>
      <c r="E39" s="24"/>
      <c r="F39" s="7"/>
    </row>
    <row r="40" spans="1:6" s="1" customFormat="1" x14ac:dyDescent="0.2">
      <c r="A40" s="7"/>
      <c r="B40" s="7"/>
      <c r="C40" s="7"/>
      <c r="D40" s="7"/>
      <c r="E40" s="24"/>
      <c r="F40" s="7"/>
    </row>
    <row r="41" spans="1:6" s="1" customFormat="1" x14ac:dyDescent="0.2">
      <c r="A41" s="7"/>
      <c r="B41" s="7"/>
      <c r="C41" s="7"/>
      <c r="D41" s="7"/>
      <c r="E41" s="24"/>
      <c r="F41" s="7"/>
    </row>
    <row r="42" spans="1:6" x14ac:dyDescent="0.2"/>
  </sheetData>
  <customSheetViews>
    <customSheetView guid="{747F537D-AE5A-42D1-81B5-51FBA5D2020E}">
      <pageMargins left="0" right="0" top="0" bottom="0" header="0" footer="0"/>
    </customSheetView>
  </customSheetViews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C566EEDDD2843AA6BB9BB98DB0570" ma:contentTypeVersion="4" ma:contentTypeDescription="Create a new document." ma:contentTypeScope="" ma:versionID="c235857255b21ded78758347f8df0c34">
  <xsd:schema xmlns:xsd="http://www.w3.org/2001/XMLSchema" xmlns:xs="http://www.w3.org/2001/XMLSchema" xmlns:p="http://schemas.microsoft.com/office/2006/metadata/properties" xmlns:ns3="d059ee28-f1c6-4d7b-8db7-ef415820d232" targetNamespace="http://schemas.microsoft.com/office/2006/metadata/properties" ma:root="true" ma:fieldsID="0be91c9aa51fd68c1451be7aa6ff7354" ns3:_="">
    <xsd:import namespace="d059ee28-f1c6-4d7b-8db7-ef415820d2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9ee28-f1c6-4d7b-8db7-ef415820d2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36471B-8883-4671-AE6C-4693110B0A5B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76832BE4-C1E4-4E9A-80D9-64D43C88E63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059ee28-f1c6-4d7b-8db7-ef415820d232"/>
  </ds:schemaRefs>
</ds:datastoreItem>
</file>

<file path=customXml/itemProps3.xml><?xml version="1.0" encoding="utf-8"?>
<ds:datastoreItem xmlns:ds="http://schemas.openxmlformats.org/officeDocument/2006/customXml" ds:itemID="{9C90E97F-0138-4706-87B6-7E3C8F6FD1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DRY-EXT</vt:lpstr>
      <vt:lpstr>WET-EXT</vt:lpstr>
      <vt:lpstr>PER-EXT</vt:lpstr>
      <vt:lpstr>C4-EXT</vt:lpstr>
      <vt:lpstr>OTHER-EXT</vt:lpstr>
      <vt:lpstr>ACM</vt:lpstr>
      <vt:lpstr>SWISSPEARL-TRESPA</vt:lpstr>
      <vt:lpstr>TRESPA-SHTS</vt:lpstr>
      <vt:lpstr>RIVETS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York</dc:creator>
  <cp:keywords/>
  <dc:description/>
  <cp:lastModifiedBy>Brandon York</cp:lastModifiedBy>
  <cp:revision/>
  <dcterms:created xsi:type="dcterms:W3CDTF">2025-12-31T00:06:50Z</dcterms:created>
  <dcterms:modified xsi:type="dcterms:W3CDTF">2026-01-08T18:35:52Z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0x010100F5BC566EEDDD2843AA6BB9BB98DB0570</vt:lpwstr>
  </property>
</Properties>
</file>